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d56e4783e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 Register" sheetId="1" r:id="Raf777f15aad240ba"/>
    <x:sheet xmlns:r="http://schemas.openxmlformats.org/officeDocument/2006/relationships" name="POA Details" sheetId="2" r:id="R0a56a3d29b2f449e"/>
    <x:sheet xmlns:r="http://schemas.openxmlformats.org/officeDocument/2006/relationships" name="Document Index" sheetId="3" r:id="Re315c5a5084d43c1"/>
    <x:sheet xmlns:r="http://schemas.openxmlformats.org/officeDocument/2006/relationships" name="Needs Review" sheetId="4" r:id="R7166b48b7bd94625"/>
  </x:sheets>
</x:workbook>
</file>

<file path=xl/comments1.xml><?xml version="1.0" encoding="utf-8"?>
<x:comments xmlns:x="http://schemas.openxmlformats.org/spreadsheetml/2006/main">
  <x:authors>
    <x:author>tc={572F4343-6502-4EF1-D5B3-ACD3DFA19172}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workbook: /Users/claudiokurath/Downloads/090925.xlsx. Existing N/I numbers retained as instructed.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0"/>
    <x:numFmt numFmtId="202" formatCode="0.0"/>
    <x:numFmt numFmtId="203" formatCode="@"/>
    <x:numFmt numFmtId="204" formatCode="0%"/>
    <x:numFmt numFmtId="205" formatCode="dd/mm/yyyy hh:mm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7F7F"/>
      </x:patternFill>
    </x:fill>
    <x:fill>
      <x:patternFill patternType="solid">
        <x:fgColor rgb="FFEAF0F6"/>
      </x:patternFill>
    </x:fill>
    <x:fill>
      <x:patternFill patternType="solid">
        <x:fgColor rgb="FFB42318"/>
      </x:patternFill>
    </x:fill>
  </x:fills>
  <x:borders count="13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0" fontId="2" fillId="0" borderId="10" xfId="0" applyNumberFormat="1" applyFont="1" applyFill="1" applyBorder="1" applyAlignment="1">
      <x:alignment vertical="top"/>
    </x:xf>
    <x:xf numFmtId="0" fontId="2" fillId="0" borderId="11" xfId="0" applyNumberFormat="1" applyFont="1" applyFill="1" applyBorder="1" applyAlignment="1">
      <x:alignment vertical="top"/>
    </x:xf>
    <x:xf numFmtId="0" fontId="2" fillId="0" borderId="12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200" fontId="2" fillId="0" borderId="11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0" fontId="2" fillId="0" borderId="9" xfId="0" applyNumberFormat="1" applyFont="1" applyFill="1" applyBorder="1" applyAlignment="1">
      <x:alignment vertical="top"/>
    </x:xf>
    <x:xf numFmtId="200" fontId="2" fillId="0" borderId="12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201" fontId="2" fillId="0" borderId="11" xfId="0" applyNumberFormat="1" applyFont="1" applyFill="1" applyBorder="1" applyAlignment="1">
      <x:alignment vertical="top"/>
    </x:xf>
    <x:xf numFmtId="202" fontId="2" fillId="0" borderId="5" xfId="0" applyNumberFormat="1" applyFont="1" applyFill="1" applyBorder="1" applyAlignment="1">
      <x:alignment vertical="top"/>
    </x:xf>
    <x:xf numFmtId="202" fontId="2" fillId="0" borderId="8" xfId="0" applyNumberFormat="1" applyFont="1" applyFill="1" applyBorder="1" applyAlignment="1">
      <x:alignment vertical="top"/>
    </x:xf>
    <x:xf numFmtId="202" fontId="2" fillId="0" borderId="11" xfId="0" applyNumberFormat="1" applyFont="1" applyFill="1" applyBorder="1" applyAlignment="1">
      <x:alignment vertical="top"/>
    </x:xf>
    <x:xf numFmtId="203" fontId="2" fillId="0" borderId="5" xfId="0" applyNumberFormat="1" applyFont="1" applyFill="1" applyBorder="1" applyAlignment="1">
      <x:alignment vertical="top"/>
    </x:xf>
    <x:xf numFmtId="203" fontId="2" fillId="0" borderId="8" xfId="0" applyNumberFormat="1" applyFont="1" applyFill="1" applyBorder="1" applyAlignment="1">
      <x:alignment vertical="top"/>
    </x:xf>
    <x:xf numFmtId="203" fontId="2" fillId="0" borderId="1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2" fillId="0" borderId="4" xfId="0" applyNumberFormat="1" applyFont="1" applyFill="1" applyBorder="1" applyAlignment="1">
      <x:alignment vertical="top" wrapText="0"/>
    </x:xf>
    <x:xf numFmtId="0" fontId="2" fillId="0" borderId="5" xfId="0" applyNumberFormat="1" applyFont="1" applyFill="1" applyBorder="1" applyAlignment="1">
      <x:alignment vertical="top" wrapText="0"/>
    </x:xf>
    <x:xf numFmtId="200" fontId="2" fillId="0" borderId="5" xfId="0" applyNumberFormat="1" applyFont="1" applyFill="1" applyBorder="1" applyAlignment="1">
      <x:alignment vertical="top" wrapText="0"/>
    </x:xf>
    <x:xf numFmtId="201" fontId="2" fillId="0" borderId="5" xfId="0" applyNumberFormat="1" applyFont="1" applyFill="1" applyBorder="1" applyAlignment="1">
      <x:alignment vertical="top" wrapText="0"/>
    </x:xf>
    <x:xf numFmtId="203" fontId="2" fillId="0" borderId="5" xfId="0" applyNumberFormat="1" applyFont="1" applyFill="1" applyBorder="1" applyAlignment="1">
      <x:alignment vertical="top" wrapText="0"/>
    </x:xf>
    <x:xf numFmtId="202" fontId="2" fillId="0" borderId="5" xfId="0" applyNumberFormat="1" applyFont="1" applyFill="1" applyBorder="1" applyAlignment="1">
      <x:alignment vertical="top" wrapText="0"/>
    </x:xf>
    <x:xf numFmtId="200" fontId="2" fillId="0" borderId="6" xfId="0" applyNumberFormat="1" applyFont="1" applyFill="1" applyBorder="1" applyAlignment="1">
      <x:alignment vertical="top" wrapText="0"/>
    </x:xf>
    <x:xf numFmtId="0" fontId="2" fillId="0" borderId="7" xfId="0" applyNumberFormat="1" applyFont="1" applyFill="1" applyBorder="1" applyAlignment="1">
      <x:alignment vertical="top" wrapText="0"/>
    </x:xf>
    <x:xf numFmtId="0" fontId="2" fillId="0" borderId="8" xfId="0" applyNumberFormat="1" applyFont="1" applyFill="1" applyBorder="1" applyAlignment="1">
      <x:alignment vertical="top" wrapText="0"/>
    </x:xf>
    <x:xf numFmtId="200" fontId="2" fillId="0" borderId="8" xfId="0" applyNumberFormat="1" applyFont="1" applyFill="1" applyBorder="1" applyAlignment="1">
      <x:alignment vertical="top" wrapText="0"/>
    </x:xf>
    <x:xf numFmtId="201" fontId="2" fillId="0" borderId="8" xfId="0" applyNumberFormat="1" applyFont="1" applyFill="1" applyBorder="1" applyAlignment="1">
      <x:alignment vertical="top" wrapText="0"/>
    </x:xf>
    <x:xf numFmtId="203" fontId="2" fillId="0" borderId="8" xfId="0" applyNumberFormat="1" applyFont="1" applyFill="1" applyBorder="1" applyAlignment="1">
      <x:alignment vertical="top" wrapText="0"/>
    </x:xf>
    <x:xf numFmtId="202" fontId="2" fillId="0" borderId="8" xfId="0" applyNumberFormat="1" applyFont="1" applyFill="1" applyBorder="1" applyAlignment="1">
      <x:alignment vertical="top" wrapText="0"/>
    </x:xf>
    <x:xf numFmtId="200" fontId="2" fillId="0" borderId="9" xfId="0" applyNumberFormat="1" applyFont="1" applyFill="1" applyBorder="1" applyAlignment="1">
      <x:alignment vertical="top" wrapText="0"/>
    </x:xf>
    <x:xf numFmtId="0" fontId="2" fillId="0" borderId="10" xfId="0" applyNumberFormat="1" applyFont="1" applyFill="1" applyBorder="1" applyAlignment="1">
      <x:alignment vertical="top" wrapText="0"/>
    </x:xf>
    <x:xf numFmtId="0" fontId="2" fillId="0" borderId="11" xfId="0" applyNumberFormat="1" applyFont="1" applyFill="1" applyBorder="1" applyAlignment="1">
      <x:alignment vertical="top" wrapText="0"/>
    </x:xf>
    <x:xf numFmtId="200" fontId="2" fillId="0" borderId="11" xfId="0" applyNumberFormat="1" applyFont="1" applyFill="1" applyBorder="1" applyAlignment="1">
      <x:alignment vertical="top" wrapText="0"/>
    </x:xf>
    <x:xf numFmtId="201" fontId="2" fillId="0" borderId="11" xfId="0" applyNumberFormat="1" applyFont="1" applyFill="1" applyBorder="1" applyAlignment="1">
      <x:alignment vertical="top" wrapText="0"/>
    </x:xf>
    <x:xf numFmtId="203" fontId="2" fillId="0" borderId="11" xfId="0" applyNumberFormat="1" applyFont="1" applyFill="1" applyBorder="1" applyAlignment="1">
      <x:alignment vertical="top" wrapText="0"/>
    </x:xf>
    <x:xf numFmtId="202" fontId="2" fillId="0" borderId="11" xfId="0" applyNumberFormat="1" applyFont="1" applyFill="1" applyBorder="1" applyAlignment="1">
      <x:alignment vertical="top" wrapText="0"/>
    </x:xf>
    <x:xf numFmtId="200" fontId="2" fillId="0" borderId="12" xfId="0" applyNumberFormat="1" applyFont="1" applyFill="1" applyBorder="1" applyAlignment="1">
      <x:alignment vertical="top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09eea0e024c8a" /><Relationship Type="http://schemas.openxmlformats.org/officeDocument/2006/relationships/theme" Target="/xl/theme/theme1.xml" Id="Rd8ce7bd4501a4520" /><Relationship Type="http://schemas.openxmlformats.org/officeDocument/2006/relationships/sharedStrings" Target="/xl/sharedStrings.xml" Id="R77c51a8b0bbb412b" /><Relationship Type="http://schemas.openxmlformats.org/officeDocument/2006/relationships/worksheet" Target="/xl/worksheets/sheet1.xml" Id="Raf777f15aad240ba" /><Relationship Type="http://schemas.openxmlformats.org/officeDocument/2006/relationships/worksheet" Target="/xl/worksheets/sheet2.xml" Id="R0a56a3d29b2f449e" /><Relationship Type="http://schemas.openxmlformats.org/officeDocument/2006/relationships/worksheet" Target="/xl/worksheets/sheet3.xml" Id="Re315c5a5084d43c1" /><Relationship Type="http://schemas.openxmlformats.org/officeDocument/2006/relationships/worksheet" Target="/xl/worksheets/sheet4.xml" Id="R7166b48b7bd94625" /><Relationship Type="http://schemas.microsoft.com/office/2017/10/relationships/person" Target="/xl/persons/person.xml" Id="R85473ca3768a49af" /></Relationships>
</file>

<file path=xl/persons/person.xml><?xml version="1.0" encoding="utf-8"?>
<xltc:personList xmlns:xltc="http://schemas.microsoft.com/office/spreadsheetml/2018/threadedcomments">
  <xltc:person displayName="User" id="{9C1837B4-EC93-4DA7-BDAD-070819D773D8}"/>
</xltc:personList>
</file>

<file path=xl/tables/table1.xml><?xml version="1.0" encoding="utf-8"?>
<x:table xmlns:x="http://schemas.openxmlformats.org/spreadsheetml/2006/main" id="1" name="PeopleRegisterTable" displayName="PeopleRegisterTable" ref="A1:X769" headerRowCount="1" totalsRowCount="0" totalsRowShown="0">
  <x:tableColumns count="24">
    <x:tableColumn id="1" name="NAME"/>
    <x:tableColumn id="2" name="FIRST NAME"/>
    <x:tableColumn id="3" name="MIDDLE NAME"/>
    <x:tableColumn id="4" name="D.O.B"/>
    <x:tableColumn id="5" name="AGE"/>
    <x:tableColumn id="6" name="MAIDEN NAME"/>
    <x:tableColumn id="7" name="NUMBER"/>
    <x:tableColumn id="8" name="N/I NUMBER"/>
    <x:tableColumn id="9" name="FROM"/>
    <x:tableColumn id="10" name="LENGTH"/>
    <x:tableColumn id="11" name="ADDRESS"/>
    <x:tableColumn id="12" name="COLUMN3"/>
    <x:tableColumn id="13" name="COLUMN2"/>
    <x:tableColumn id="14" name="COLUMN1"/>
    <x:tableColumn id="15" name="FROM2"/>
    <x:tableColumn id="16" name="LENGTH2"/>
    <x:tableColumn id="17" name="ADDRESS2"/>
    <x:tableColumn id="18" name="FROM3"/>
    <x:tableColumn id="19" name="LENGTH3"/>
    <x:tableColumn id="20" name="POSITION"/>
    <x:tableColumn id="21" name="EMPLOYER"/>
    <x:tableColumn id="22" name="ADDRESS3"/>
    <x:tableColumn id="23" name="NUMBER2"/>
    <x:tableColumn id="24" name="TODA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aDetailsTable" displayName="PoaDetailsTable" ref="A4:R4" headerRowCount="1" totalsRowCount="0" totalsRowShown="0">
  <x:tableColumns count="18">
    <x:tableColumn id="1" name="POA RECORD ID"/>
    <x:tableColumn id="2" name="DONOR FULL NAME"/>
    <x:tableColumn id="3" name="DONOR D.O.B"/>
    <x:tableColumn id="4" name="N/I NUMBER"/>
    <x:tableColumn id="5" name="ATTORNEY(S)"/>
    <x:tableColumn id="6" name="POA TYPE"/>
    <x:tableColumn id="7" name="JURISDICTION"/>
    <x:tableColumn id="8" name="DATE SIGNED"/>
    <x:tableColumn id="9" name="DATE REGISTERED"/>
    <x:tableColumn id="10" name="REGISTRATION REFERENCE"/>
    <x:tableColumn id="11" name="EFFECTIVE FROM"/>
    <x:tableColumn id="12" name="STATUS"/>
    <x:tableColumn id="13" name="SCOPE / RESTRICTIONS"/>
    <x:tableColumn id="14" name="REPLACEMENT ATTORNEYS"/>
    <x:tableColumn id="15" name="SOURCE PDF"/>
    <x:tableColumn id="16" name="SOURCE PAGE(S)"/>
    <x:tableColumn id="17" name="LAST REVIEWED"/>
    <x:tableColumn id="18" name="REVIEW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cumentIndexTable" displayName="DocumentIndexTable" ref="A4:N4" headerRowCount="1" totalsRowCount="0" totalsRowShown="0">
  <x:tableColumns count="14">
    <x:tableColumn id="1" name="DOCUMENT ID"/>
    <x:tableColumn id="2" name="FILE NAME"/>
    <x:tableColumn id="3" name="FILE PATH / DRIVE LINK"/>
    <x:tableColumn id="4" name="DOCUMENT TYPE"/>
    <x:tableColumn id="5" name="LINKED PERSON"/>
    <x:tableColumn id="6" name="DOCUMENT DATE"/>
    <x:tableColumn id="7" name="PAGE COUNT"/>
    <x:tableColumn id="8" name="OCR STATUS"/>
    <x:tableColumn id="9" name="EXTRACTION STATUS"/>
    <x:tableColumn id="10" name="CONFIDENCE"/>
    <x:tableColumn id="11" name="NEEDS REVIEW"/>
    <x:tableColumn id="12" name="REVIEW REASON"/>
    <x:tableColumn id="13" name="LAST PROCESSED"/>
    <x:tableColumn id="14" name="FILE HAS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edsReviewTable" displayName="NeedsReviewTable" ref="A4:L4" headerRowCount="1" totalsRowCount="0" totalsRowShown="0">
  <x:tableColumns count="12">
    <x:tableColumn id="1" name="REVIEW ID"/>
    <x:tableColumn id="2" name="FILE NAME"/>
    <x:tableColumn id="3" name="SOURCE LINK"/>
    <x:tableColumn id="4" name="LINKED PERSON"/>
    <x:tableColumn id="5" name="ISSUE TYPE"/>
    <x:tableColumn id="6" name="EXTRACTED VALUE"/>
    <x:tableColumn id="7" name="SUGGESTED VALUE"/>
    <x:tableColumn id="8" name="CONFIDENCE"/>
    <x:tableColumn id="9" name="STATUS"/>
    <x:tableColumn id="10" name="REVIEWER"/>
    <x:tableColumn id="11" name="REVIEWED DAT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6T11:55:03.125" personId="{9C1837B4-EC93-4DA7-BDAD-070819D773D8}" id="{572F4343-6502-4EF1-D5B3-ACD3DFA19172}">
    <xltc:text>Source workbook: /Users/claudiokurath/Downloads/090925.xlsx. Existing N/I numbers retained as instructed.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011b1d7fc5e4879" /><Relationship Type="http://schemas.openxmlformats.org/officeDocument/2006/relationships/vmlDrawing" Target="/xl/drawings/vmldrawing.vml" Id="R74b024f00f994c49" /><Relationship Type="http://schemas.microsoft.com/office/2017/10/relationships/threadedComment" Target="/xl/threadedcomments/threadedcomment.xml" Id="Rb63eabbba20244ac" /><Relationship Type="http://schemas.openxmlformats.org/officeDocument/2006/relationships/table" Target="/xl/tables/table1.xml" Id="Rcf4653f705ab4f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69793a6349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17e6b251a64c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e6a7aca4a346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3" hidden="0" customWidth="1"/>
    <x:col min="5" max="5" width="8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0" hidden="0" customWidth="1"/>
    <x:col min="11" max="11" width="42" hidden="0" customWidth="1"/>
    <x:col min="12" max="12" width="16" hidden="0" customWidth="1"/>
    <x:col min="13" max="13" width="16" hidden="0" customWidth="1"/>
    <x:col min="14" max="14" width="16" hidden="0" customWidth="1"/>
    <x:col min="15" max="15" width="13" hidden="0" customWidth="1"/>
    <x:col min="16" max="16" width="10" hidden="0" customWidth="1"/>
    <x:col min="17" max="17" width="42" hidden="0" customWidth="1"/>
    <x:col min="18" max="18" width="13" hidden="0" customWidth="1"/>
    <x:col min="19" max="19" width="10" hidden="0" customWidth="1"/>
    <x:col min="20" max="20" width="24" hidden="0" customWidth="1"/>
    <x:col min="21" max="21" width="28" hidden="0" customWidth="1"/>
    <x:col min="22" max="22" width="42" hidden="0" customWidth="1"/>
    <x:col min="23" max="23" width="18" hidden="0" customWidth="1"/>
    <x:col min="24" max="24" width="13" hidden="0" customWidth="1"/>
  </x:cols>
  <x:sheetData>
    <x:row r="1" ht="32" customHeight="1">
      <x:c r="A1" s="12" t="str">
        <x:v>NAME</x:v>
      </x:c>
      <x:c r="B1" s="13" t="str">
        <x:v>FIRST NAME</x:v>
      </x:c>
      <x:c r="C1" s="13" t="str">
        <x:v>MIDDLE NAME</x:v>
      </x:c>
      <x:c r="D1" s="13" t="str">
        <x:v>D.O.B</x:v>
      </x:c>
      <x:c r="E1" s="13" t="str">
        <x:v>AGE</x:v>
      </x:c>
      <x:c r="F1" s="13" t="str">
        <x:v>MAIDEN NAME</x:v>
      </x:c>
      <x:c r="G1" s="13" t="str">
        <x:v>NUMBER</x:v>
      </x:c>
      <x:c r="H1" s="13" t="str">
        <x:v>N/I NUMBER</x:v>
      </x:c>
      <x:c r="I1" s="13" t="str">
        <x:v>FROM</x:v>
      </x:c>
      <x:c r="J1" s="13" t="str">
        <x:v>LENGTH</x:v>
      </x:c>
      <x:c r="K1" s="13" t="str">
        <x:v>ADDRESS</x:v>
      </x:c>
      <x:c r="L1" s="13" t="str">
        <x:v>COLUMN3</x:v>
      </x:c>
      <x:c r="M1" s="13" t="str">
        <x:v>COLUMN2</x:v>
      </x:c>
      <x:c r="N1" s="13" t="str">
        <x:v>COLUMN1</x:v>
      </x:c>
      <x:c r="O1" s="13" t="str">
        <x:v>FROM2</x:v>
      </x:c>
      <x:c r="P1" s="13" t="str">
        <x:v>LENGTH2</x:v>
      </x:c>
      <x:c r="Q1" s="13" t="str">
        <x:v>ADDRESS2</x:v>
      </x:c>
      <x:c r="R1" s="13" t="str">
        <x:v>FROM3</x:v>
      </x:c>
      <x:c r="S1" s="13" t="str">
        <x:v>LENGTH3</x:v>
      </x:c>
      <x:c r="T1" s="13" t="str">
        <x:v>POSITION</x:v>
      </x:c>
      <x:c r="U1" s="13" t="str">
        <x:v>EMPLOYER</x:v>
      </x:c>
      <x:c r="V1" s="13" t="str">
        <x:v>ADDRESS3</x:v>
      </x:c>
      <x:c r="W1" s="13" t="str">
        <x:v>NUMBER2</x:v>
      </x:c>
      <x:c r="X1" s="14" t="str">
        <x:v>TODAY</x:v>
      </x:c>
    </x:row>
    <x:row r="2">
      <x:c r="A2" s="52" t="str">
        <x:v>A</x:v>
      </x:c>
      <x:c r="B2" s="53"/>
      <x:c r="C2" s="53"/>
      <x:c r="D2" s="54"/>
      <x:c r="E2" s="55" t="str">
        <x:f>IF(OR(D2="",X2=""),"",IFERROR(DATEDIF(D2,X2,"y"),""))</x:f>
      </x:c>
      <x:c r="F2" s="53"/>
      <x:c r="G2" s="56"/>
      <x:c r="H2" s="56"/>
      <x:c r="I2" s="54"/>
      <x:c r="J2" s="57" t="str">
        <x:f>IF(OR(I2="",X2=""),"",IFERROR(DATEDIF(I2,X2,"m")/12,""))</x:f>
      </x:c>
      <x:c r="K2" s="53"/>
      <x:c r="L2" s="53"/>
      <x:c r="M2" s="53"/>
      <x:c r="N2" s="53"/>
      <x:c r="O2" s="54"/>
      <x:c r="P2" s="57" t="str">
        <x:f>IF(OR(O2="",I2=""),"",IFERROR(DATEDIF(O2,I2,"m")/12,""))</x:f>
      </x:c>
      <x:c r="Q2" s="53"/>
      <x:c r="R2" s="54"/>
      <x:c r="S2" s="57" t="str">
        <x:f>IF(OR(R2="",X2=""),"",IFERROR(DATEDIF(R2,X2,"m")/12,""))</x:f>
      </x:c>
      <x:c r="T2" s="53"/>
      <x:c r="U2" s="53"/>
      <x:c r="V2" s="53"/>
      <x:c r="W2" s="56"/>
      <x:c r="X2" s="58" t="n">
        <x:f>TODAY()</x:f>
        <x:v>46250</x:v>
      </x:c>
    </x:row>
    <x:row r="3">
      <x:c r="A3" s="59" t="str">
        <x:v>ABOUKHALIL</x:v>
      </x:c>
      <x:c r="B3" s="60" t="str">
        <x:v>KALIL</x:v>
      </x:c>
      <x:c r="C3" s="60" t="str">
        <x:v>ADNAN</x:v>
      </x:c>
      <x:c r="D3" s="61" t="n">
        <x:v>32259.5</x:v>
      </x:c>
      <x:c r="E3" s="62" t="n">
        <x:f>IF(OR(D3="",X3=""),"",IFERROR(DATEDIF(D3,X3,"y"),""))</x:f>
        <x:v>38</x:v>
      </x:c>
      <x:c r="F3" s="60"/>
      <x:c r="G3" s="63" t="str">
        <x:v>07425181155</x:v>
      </x:c>
      <x:c r="H3" s="63"/>
      <x:c r="I3" s="61" t="n">
        <x:v>43221.5</x:v>
      </x:c>
      <x:c r="J3" s="64" t="n">
        <x:f>IF(OR(I3="",X3=""),"",IFERROR(DATEDIF(I3,X3,"m")/12,""))</x:f>
        <x:v>8.25</x:v>
      </x:c>
      <x:c r="K3" s="60" t="str">
        <x:v>FLAT 103, 30-31 PHILBEACH GARDENS, LONDON, SW5 9EB</x:v>
      </x:c>
      <x:c r="L3" s="60" t="str">
        <x:v> SW5 9EB</x:v>
      </x:c>
      <x:c r="M3" s="60"/>
      <x:c r="N3" s="60" t="str">
        <x:v>SW5 9EB</x:v>
      </x:c>
      <x:c r="O3" s="61" t="n">
        <x:v>40391.5</x:v>
      </x:c>
      <x:c r="P3" s="64" t="n">
        <x:f>IF(OR(O3="",I3=""),"",IFERROR(DATEDIF(O3,I3,"m")/12,""))</x:f>
        <x:v>7.75</x:v>
      </x:c>
      <x:c r="Q3" s="60" t="str">
        <x:v>FLAT 8, 173A, CRICKLEWOOD BROADWAY, LONDON, NW2 3HT</x:v>
      </x:c>
      <x:c r="R3" s="61" t="n">
        <x:v>43497.5</x:v>
      </x:c>
      <x:c r="S3" s="64" t="n">
        <x:f>IF(OR(R3="",X3=""),"",IFERROR(DATEDIF(R3,X3,"m")/12,""))</x:f>
        <x:v>7.5</x:v>
      </x:c>
      <x:c r="T3" s="60" t="str">
        <x:v>CLIENT REPORTING &amp; PERFORMANCE MANAGER</x:v>
      </x:c>
      <x:c r="U3" s="60" t="str">
        <x:v>SEI INVESTMENTS (EUROPE) LTD</x:v>
      </x:c>
      <x:c r="V3" s="60" t="str">
        <x:v>14-18 FINSBURY SQUARE, LONDON EC2A 1BR</x:v>
      </x:c>
      <x:c r="W3" s="63" t="str">
        <x:v>020 3810 8000</x:v>
      </x:c>
      <x:c r="X3" s="65" t="n">
        <x:f>TODAY()</x:f>
        <x:v>46250</x:v>
      </x:c>
    </x:row>
    <x:row r="4">
      <x:c r="A4" s="59" t="str">
        <x:v>ABOUKHALIL</x:v>
      </x:c>
      <x:c r="B4" s="60" t="str">
        <x:v>KALIL</x:v>
      </x:c>
      <x:c r="C4" s="60" t="str">
        <x:v>ADNAN</x:v>
      </x:c>
      <x:c r="D4" s="61" t="n">
        <x:v>32259.5</x:v>
      </x:c>
      <x:c r="E4" s="62" t="n">
        <x:f>IF(OR(D4="",X4=""),"",IFERROR(DATEDIF(D4,X4,"y"),""))</x:f>
        <x:v>38</x:v>
      </x:c>
      <x:c r="F4" s="60"/>
      <x:c r="G4" s="63" t="str">
        <x:v>07425181155</x:v>
      </x:c>
      <x:c r="H4" s="63"/>
      <x:c r="I4" s="61" t="n">
        <x:v>43221.5</x:v>
      </x:c>
      <x:c r="J4" s="64" t="n">
        <x:f>IF(OR(I4="",X4=""),"",IFERROR(DATEDIF(I4,X4,"m")/12,""))</x:f>
        <x:v>8.25</x:v>
      </x:c>
      <x:c r="K4" s="60" t="str">
        <x:v>FLAT 103, 30-31 PHILBEACH GARDENS, LONDON, SW5 9EB</x:v>
      </x:c>
      <x:c r="L4" s="60" t="str">
        <x:v> SW5 9EB</x:v>
      </x:c>
      <x:c r="M4" s="60"/>
      <x:c r="N4" s="60" t="str">
        <x:v>SW5 9EB</x:v>
      </x:c>
      <x:c r="O4" s="61" t="n">
        <x:v>40391.5</x:v>
      </x:c>
      <x:c r="P4" s="64" t="n">
        <x:f>IF(OR(O4="",I4=""),"",IFERROR(DATEDIF(O4,I4,"m")/12,""))</x:f>
        <x:v>7.75</x:v>
      </x:c>
      <x:c r="Q4" s="60" t="str">
        <x:v>FLAT 8, 173A, CRICKLEWOOD BROADWAY, LONDON, NW2 3HT</x:v>
      </x:c>
      <x:c r="R4" s="61" t="n">
        <x:v>43497.5</x:v>
      </x:c>
      <x:c r="S4" s="64" t="n">
        <x:f>IF(OR(R4="",X4=""),"",IFERROR(DATEDIF(R4,X4,"m")/12,""))</x:f>
        <x:v>7.5</x:v>
      </x:c>
      <x:c r="T4" s="60" t="str">
        <x:v>CLIENT REPORTING &amp; PERFORMANCE MANAGER</x:v>
      </x:c>
      <x:c r="U4" s="60" t="str">
        <x:v>SEI INVESTMENTS (EUROPE) LTD</x:v>
      </x:c>
      <x:c r="V4" s="60" t="str">
        <x:v>14-18 FINSBURY SQUARE, LONDON EC2A 1BR</x:v>
      </x:c>
      <x:c r="W4" s="63" t="str">
        <x:v>21 3810 8000</x:v>
      </x:c>
      <x:c r="X4" s="65" t="n">
        <x:f>TODAY()</x:f>
        <x:v>46250</x:v>
      </x:c>
    </x:row>
    <x:row r="5">
      <x:c r="A5" s="59" t="str">
        <x:v>ABRAHAMS</x:v>
      </x:c>
      <x:c r="B5" s="60" t="str">
        <x:v>BRUCE</x:v>
      </x:c>
      <x:c r="C5" s="60" t="str">
        <x:v>ALEXANDER FRANCIS</x:v>
      </x:c>
      <x:c r="D5" s="61" t="n">
        <x:v>23468.5</x:v>
      </x:c>
      <x:c r="E5" s="62" t="n">
        <x:f>IF(OR(D5="",X5=""),"",IFERROR(DATEDIF(D5,X5,"y"),""))</x:f>
        <x:v>62</x:v>
      </x:c>
      <x:c r="F5" s="60" t="str">
        <x:v>ABRAHAMS</x:v>
      </x:c>
      <x:c r="G5" s="63" t="str">
        <x:v>07598 590731</x:v>
      </x:c>
      <x:c r="H5" s="63"/>
      <x:c r="I5" s="61" t="n">
        <x:v>40756.5</x:v>
      </x:c>
      <x:c r="J5" s="64" t="n">
        <x:f>IF(OR(I5="",X5=""),"",IFERROR(DATEDIF(I5,X5,"m")/12,""))</x:f>
        <x:v>15</x:v>
      </x:c>
      <x:c r="K5" s="60" t="str">
        <x:v>FLAT 1, 1 NEVERN SQUARE, LONDON, SW5 9NW</x:v>
      </x:c>
      <x:c r="L5" s="60" t="str">
        <x:v> SW5 9NW</x:v>
      </x:c>
      <x:c r="M5" s="60"/>
      <x:c r="N5" s="60" t="str">
        <x:v>SW5 9NW</x:v>
      </x:c>
      <x:c r="O5" s="61"/>
      <x:c r="P5" s="64" t="str">
        <x:f>IF(OR(O5="",I5=""),"",IFERROR(DATEDIF(O5,I5,"m")/12,""))</x:f>
      </x:c>
      <x:c r="Q5" s="60"/>
      <x:c r="R5" s="61"/>
      <x:c r="S5" s="64" t="str">
        <x:f>IF(OR(R5="",X5=""),"",IFERROR(DATEDIF(R5,X5,"m")/12,""))</x:f>
      </x:c>
      <x:c r="T5" s="60"/>
      <x:c r="U5" s="60"/>
      <x:c r="V5" s="60"/>
      <x:c r="W5" s="63"/>
      <x:c r="X5" s="65" t="n">
        <x:f>TODAY()</x:f>
        <x:v>46250</x:v>
      </x:c>
    </x:row>
    <x:row r="6">
      <x:c r="A6" s="59" t="str">
        <x:v>ABRAHAMS</x:v>
      </x:c>
      <x:c r="B6" s="60" t="str">
        <x:v>BRUCE</x:v>
      </x:c>
      <x:c r="C6" s="60" t="str">
        <x:v>ALEXANDER FRANCIS</x:v>
      </x:c>
      <x:c r="D6" s="61" t="n">
        <x:v>23468.5</x:v>
      </x:c>
      <x:c r="E6" s="62" t="n">
        <x:f>IF(OR(D6="",X6=""),"",IFERROR(DATEDIF(D6,X6,"y"),""))</x:f>
        <x:v>62</x:v>
      </x:c>
      <x:c r="F6" s="60" t="str">
        <x:v>ABRAHAMS</x:v>
      </x:c>
      <x:c r="G6" s="63" t="str">
        <x:v>7599 590731</x:v>
      </x:c>
      <x:c r="H6" s="63"/>
      <x:c r="I6" s="61" t="n">
        <x:v>40756.5</x:v>
      </x:c>
      <x:c r="J6" s="64" t="n">
        <x:f>IF(OR(I6="",X6=""),"",IFERROR(DATEDIF(I6,X6,"m")/12,""))</x:f>
        <x:v>15</x:v>
      </x:c>
      <x:c r="K6" s="60" t="str">
        <x:v>FLAT 1, 1 NEVERN SQUARE, LONDON, SW5 9NW</x:v>
      </x:c>
      <x:c r="L6" s="60" t="str">
        <x:v> SW5 9NW</x:v>
      </x:c>
      <x:c r="M6" s="60"/>
      <x:c r="N6" s="60" t="str">
        <x:v>SW5 9NW</x:v>
      </x:c>
      <x:c r="O6" s="61"/>
      <x:c r="P6" s="64" t="str">
        <x:f>IF(OR(O6="",I6=""),"",IFERROR(DATEDIF(O6,I6,"m")/12,""))</x:f>
      </x:c>
      <x:c r="Q6" s="60"/>
      <x:c r="R6" s="61"/>
      <x:c r="S6" s="64" t="str">
        <x:f>IF(OR(R6="",X6=""),"",IFERROR(DATEDIF(R6,X6,"m")/12,""))</x:f>
      </x:c>
      <x:c r="T6" s="60"/>
      <x:c r="U6" s="60"/>
      <x:c r="V6" s="60"/>
      <x:c r="W6" s="63"/>
      <x:c r="X6" s="65" t="n">
        <x:f>TODAY()</x:f>
        <x:v>46250</x:v>
      </x:c>
    </x:row>
    <x:row r="7">
      <x:c r="A7" s="59" t="str">
        <x:v>ABRAMS</x:v>
      </x:c>
      <x:c r="B7" s="60" t="str">
        <x:v>ALEXANDRA</x:v>
      </x:c>
      <x:c r="C7" s="60" t="str">
        <x:v>BERINA AMELIA</x:v>
      </x:c>
      <x:c r="D7" s="61" t="n">
        <x:v>33022.5</x:v>
      </x:c>
      <x:c r="E7" s="62" t="n">
        <x:f>IF(OR(D7="",X7=""),"",IFERROR(DATEDIF(D7,X7,"y"),""))</x:f>
        <x:v>36</x:v>
      </x:c>
      <x:c r="F7" s="60" t="str">
        <x:v>ROSENGARTEN</x:v>
      </x:c>
      <x:c r="G7" s="63"/>
      <x:c r="H7" s="63"/>
      <x:c r="I7" s="61"/>
      <x:c r="J7" s="64" t="str">
        <x:f>IF(OR(I7="",X7=""),"",IFERROR(DATEDIF(I7,X7,"m")/12,""))</x:f>
      </x:c>
      <x:c r="K7" s="60"/>
      <x:c r="L7" s="60"/>
      <x:c r="M7" s="60"/>
      <x:c r="N7" s="60"/>
      <x:c r="O7" s="61"/>
      <x:c r="P7" s="64" t="str">
        <x:f>IF(OR(O7="",I7=""),"",IFERROR(DATEDIF(O7,I7,"m")/12,""))</x:f>
      </x:c>
      <x:c r="Q7" s="60"/>
      <x:c r="R7" s="61"/>
      <x:c r="S7" s="64" t="str">
        <x:f>IF(OR(R7="",X7=""),"",IFERROR(DATEDIF(R7,X7,"m")/12,""))</x:f>
      </x:c>
      <x:c r="T7" s="60"/>
      <x:c r="U7" s="60"/>
      <x:c r="V7" s="60"/>
      <x:c r="W7" s="63"/>
      <x:c r="X7" s="65" t="n">
        <x:f>TODAY()</x:f>
        <x:v>46250</x:v>
      </x:c>
    </x:row>
    <x:row r="8">
      <x:c r="A8" s="59" t="str">
        <x:v>ABRAMS</x:v>
      </x:c>
      <x:c r="B8" s="60" t="str">
        <x:v>ALEXANDRA</x:v>
      </x:c>
      <x:c r="C8" s="60" t="str">
        <x:v>BERINA AMELIA</x:v>
      </x:c>
      <x:c r="D8" s="61" t="n">
        <x:v>33022.5</x:v>
      </x:c>
      <x:c r="E8" s="62" t="n">
        <x:f>IF(OR(D8="",X8=""),"",IFERROR(DATEDIF(D8,X8,"y"),""))</x:f>
        <x:v>36</x:v>
      </x:c>
      <x:c r="F8" s="60" t="str">
        <x:v>ROSENGARTEN</x:v>
      </x:c>
      <x:c r="G8" s="63"/>
      <x:c r="H8" s="63"/>
      <x:c r="I8" s="61"/>
      <x:c r="J8" s="64" t="str">
        <x:f>IF(OR(I8="",X8=""),"",IFERROR(DATEDIF(I8,X8,"m")/12,""))</x:f>
      </x:c>
      <x:c r="K8" s="60"/>
      <x:c r="L8" s="60"/>
      <x:c r="M8" s="60"/>
      <x:c r="N8" s="60"/>
      <x:c r="O8" s="61"/>
      <x:c r="P8" s="64" t="str">
        <x:f>IF(OR(O8="",I8=""),"",IFERROR(DATEDIF(O8,I8,"m")/12,""))</x:f>
      </x:c>
      <x:c r="Q8" s="60"/>
      <x:c r="R8" s="61"/>
      <x:c r="S8" s="64" t="str">
        <x:f>IF(OR(R8="",X8=""),"",IFERROR(DATEDIF(R8,X8,"m")/12,""))</x:f>
      </x:c>
      <x:c r="T8" s="60"/>
      <x:c r="U8" s="60"/>
      <x:c r="V8" s="60"/>
      <x:c r="W8" s="63"/>
      <x:c r="X8" s="65" t="n">
        <x:f>TODAY()</x:f>
        <x:v>46250</x:v>
      </x:c>
    </x:row>
    <x:row r="9">
      <x:c r="A9" s="59" t="str">
        <x:v>ACHACHE</x:v>
      </x:c>
      <x:c r="B9" s="60" t="str">
        <x:v>GEORGE</x:v>
      </x:c>
      <x:c r="C9" s="60" t="str">
        <x:v>JEAN</x:v>
      </x:c>
      <x:c r="D9" s="61" t="n">
        <x:v>29380.5</x:v>
      </x:c>
      <x:c r="E9" s="62" t="n">
        <x:f>IF(OR(D9="",X9=""),"",IFERROR(DATEDIF(D9,X9,"y"),""))</x:f>
        <x:v>46</x:v>
      </x:c>
      <x:c r="F9" s="60" t="str">
        <x:v>VON PREUSSEN</x:v>
      </x:c>
      <x:c r="G9" s="63" t="str">
        <x:v>07831857449</x:v>
      </x:c>
      <x:c r="H9" s="63"/>
      <x:c r="I9" s="61" t="n">
        <x:v>43862.5</x:v>
      </x:c>
      <x:c r="J9" s="64" t="n">
        <x:f>IF(OR(I9="",X9=""),"",IFERROR(DATEDIF(I9,X9,"m")/12,""))</x:f>
        <x:v>6.5</x:v>
      </x:c>
      <x:c r="K9" s="60" t="str">
        <x:v>FLAT 4, 45 CLANRICARDE GARDENS, LONDON, W2 4JN</x:v>
      </x:c>
      <x:c r="L9" s="60" t="str">
        <x:v> W2 4JN</x:v>
      </x:c>
      <x:c r="M9" s="60"/>
      <x:c r="N9" s="60" t="str">
        <x:v>W2 4JN</x:v>
      </x:c>
      <x:c r="O9" s="61" t="n">
        <x:v>43221.5</x:v>
      </x:c>
      <x:c r="P9" s="64" t="n">
        <x:f>IF(OR(O9="",I9=""),"",IFERROR(DATEDIF(O9,I9,"m")/12,""))</x:f>
        <x:v>1.75</x:v>
      </x:c>
      <x:c r="Q9" s="60" t="str">
        <x:v>CAROLINE FARM, RIDGE ROW, FOLKESTONE, KENT, CT18 8JT</x:v>
      </x:c>
      <x:c r="R9" s="61" t="n">
        <x:v>38596.5</x:v>
      </x:c>
      <x:c r="S9" s="64" t="n">
        <x:f>IF(OR(R9="",X9=""),"",IFERROR(DATEDIF(R9,X9,"m")/12,""))</x:f>
        <x:v>20.916666666666668</x:v>
      </x:c>
      <x:c r="T9" s="60" t="str">
        <x:v>ENGINEER</x:v>
      </x:c>
      <x:c r="U9" s="60" t="str">
        <x:v>45 CLANRICARDE GARDENS MANAGEMENT LIMITED</x:v>
      </x:c>
      <x:c r="V9" s="60" t="str">
        <x:v>45 CLANRICARDE GARDENS, LONDON, W2 4JN</x:v>
      </x:c>
      <x:c r="W9" s="63"/>
      <x:c r="X9" s="65" t="n">
        <x:f>TODAY()</x:f>
        <x:v>46250</x:v>
      </x:c>
    </x:row>
    <x:row r="10">
      <x:c r="A10" s="59" t="str">
        <x:v>ACHACHE</x:v>
      </x:c>
      <x:c r="B10" s="60" t="str">
        <x:v>GEORGE</x:v>
      </x:c>
      <x:c r="C10" s="60" t="str">
        <x:v>JEAN</x:v>
      </x:c>
      <x:c r="D10" s="61" t="n">
        <x:v>29380.5</x:v>
      </x:c>
      <x:c r="E10" s="62" t="n">
        <x:f>IF(OR(D10="",X10=""),"",IFERROR(DATEDIF(D10,X10,"y"),""))</x:f>
        <x:v>46</x:v>
      </x:c>
      <x:c r="F10" s="60" t="str">
        <x:v>VON PREUSSEN</x:v>
      </x:c>
      <x:c r="G10" s="63" t="str">
        <x:v>07831857449</x:v>
      </x:c>
      <x:c r="H10" s="63"/>
      <x:c r="I10" s="61" t="n">
        <x:v>43862.5</x:v>
      </x:c>
      <x:c r="J10" s="64" t="n">
        <x:f>IF(OR(I10="",X10=""),"",IFERROR(DATEDIF(I10,X10,"m")/12,""))</x:f>
        <x:v>6.5</x:v>
      </x:c>
      <x:c r="K10" s="60" t="str">
        <x:v>FLAT 4, 45 CLANRICARDE GARDENS, LONDON, W2 4JN</x:v>
      </x:c>
      <x:c r="L10" s="60" t="str">
        <x:v> W2 4JN</x:v>
      </x:c>
      <x:c r="M10" s="60"/>
      <x:c r="N10" s="60" t="str">
        <x:v>W2 4JN</x:v>
      </x:c>
      <x:c r="O10" s="61" t="n">
        <x:v>43221.5</x:v>
      </x:c>
      <x:c r="P10" s="64" t="n">
        <x:f>IF(OR(O10="",I10=""),"",IFERROR(DATEDIF(O10,I10,"m")/12,""))</x:f>
        <x:v>1.75</x:v>
      </x:c>
      <x:c r="Q10" s="60" t="str">
        <x:v>CAROLINE FARM, RIDGE ROW, FOLKESTONE, KENT, CT18 8JT</x:v>
      </x:c>
      <x:c r="R10" s="61" t="n">
        <x:v>38596.5</x:v>
      </x:c>
      <x:c r="S10" s="64" t="n">
        <x:f>IF(OR(R10="",X10=""),"",IFERROR(DATEDIF(R10,X10,"m")/12,""))</x:f>
        <x:v>20.916666666666668</x:v>
      </x:c>
      <x:c r="T10" s="60" t="str">
        <x:v>ENGINEER</x:v>
      </x:c>
      <x:c r="U10" s="60" t="str">
        <x:v>46 CLANRICARDE GARDENS MANAGEMENT LIMITED</x:v>
      </x:c>
      <x:c r="V10" s="60" t="str">
        <x:v>46 CLANRICARDE GARDENS, LONDON, W2 4JN</x:v>
      </x:c>
      <x:c r="W10" s="63"/>
      <x:c r="X10" s="65" t="n">
        <x:f>TODAY()</x:f>
        <x:v>46250</x:v>
      </x:c>
    </x:row>
    <x:row r="11">
      <x:c r="A11" s="59" t="str">
        <x:v>AGGERBECK-HANSEN</x:v>
      </x:c>
      <x:c r="B11" s="60" t="str">
        <x:v>ALBERT</x:v>
      </x:c>
      <x:c r="C11" s="60" t="str">
        <x:v>EMIL</x:v>
      </x:c>
      <x:c r="D11" s="61" t="n">
        <x:v>36184.5</x:v>
      </x:c>
      <x:c r="E11" s="62" t="n">
        <x:f>IF(OR(D11="",X11=""),"",IFERROR(DATEDIF(D11,X11,"y"),""))</x:f>
        <x:v>27</x:v>
      </x:c>
      <x:c r="F11" s="60"/>
      <x:c r="G11" s="63"/>
      <x:c r="H11" s="63"/>
      <x:c r="I11" s="61"/>
      <x:c r="J11" s="64" t="str">
        <x:f>IF(OR(I11="",X11=""),"",IFERROR(DATEDIF(I11,X11,"m")/12,""))</x:f>
      </x:c>
      <x:c r="K11" s="60" t="str">
        <x:v>FLAT B, 44 DRAYCOTT PLACE, LONDON, SW3 2SA</x:v>
      </x:c>
      <x:c r="L11" s="60" t="str">
        <x:v> SW3 2SA</x:v>
      </x:c>
      <x:c r="M11" s="60"/>
      <x:c r="N11" s="60" t="str">
        <x:v>SW3 2SA</x:v>
      </x:c>
      <x:c r="O11" s="61"/>
      <x:c r="P11" s="64" t="str">
        <x:f>IF(OR(O11="",I11=""),"",IFERROR(DATEDIF(O11,I11,"m")/12,""))</x:f>
      </x:c>
      <x:c r="Q11" s="60"/>
      <x:c r="R11" s="61"/>
      <x:c r="S11" s="64" t="str">
        <x:f>IF(OR(R11="",X11=""),"",IFERROR(DATEDIF(R11,X11,"m")/12,""))</x:f>
      </x:c>
      <x:c r="T11" s="60"/>
      <x:c r="U11" s="60"/>
      <x:c r="V11" s="60"/>
      <x:c r="W11" s="63"/>
      <x:c r="X11" s="65" t="n">
        <x:f>TODAY()</x:f>
        <x:v>46250</x:v>
      </x:c>
    </x:row>
    <x:row r="12">
      <x:c r="A12" s="59" t="str">
        <x:v>AGGERBECK-HANSEN</x:v>
      </x:c>
      <x:c r="B12" s="60" t="str">
        <x:v>ALBERT</x:v>
      </x:c>
      <x:c r="C12" s="60" t="str">
        <x:v>EMIL</x:v>
      </x:c>
      <x:c r="D12" s="61" t="n">
        <x:v>36184.5</x:v>
      </x:c>
      <x:c r="E12" s="62" t="n">
        <x:f>IF(OR(D12="",X12=""),"",IFERROR(DATEDIF(D12,X12,"y"),""))</x:f>
        <x:v>27</x:v>
      </x:c>
      <x:c r="F12" s="60"/>
      <x:c r="G12" s="63"/>
      <x:c r="H12" s="63"/>
      <x:c r="I12" s="61"/>
      <x:c r="J12" s="64" t="str">
        <x:f>IF(OR(I12="",X12=""),"",IFERROR(DATEDIF(I12,X12,"m")/12,""))</x:f>
      </x:c>
      <x:c r="K12" s="60" t="str">
        <x:v>FLAT B, 44 DRAYCOTT PLACE, LONDON, SW3 2SA</x:v>
      </x:c>
      <x:c r="L12" s="60" t="str">
        <x:v> SW3 2SA</x:v>
      </x:c>
      <x:c r="M12" s="60"/>
      <x:c r="N12" s="60" t="str">
        <x:v>SW3 2SA</x:v>
      </x:c>
      <x:c r="O12" s="61"/>
      <x:c r="P12" s="64" t="str">
        <x:f>IF(OR(O12="",I12=""),"",IFERROR(DATEDIF(O12,I12,"m")/12,""))</x:f>
      </x:c>
      <x:c r="Q12" s="60"/>
      <x:c r="R12" s="61"/>
      <x:c r="S12" s="64" t="str">
        <x:f>IF(OR(R12="",X12=""),"",IFERROR(DATEDIF(R12,X12,"m")/12,""))</x:f>
      </x:c>
      <x:c r="T12" s="60"/>
      <x:c r="U12" s="60"/>
      <x:c r="V12" s="60"/>
      <x:c r="W12" s="63"/>
      <x:c r="X12" s="65" t="n">
        <x:f>TODAY()</x:f>
        <x:v>46250</x:v>
      </x:c>
    </x:row>
    <x:row r="13">
      <x:c r="A13" s="59" t="str">
        <x:v>AHMED</x:v>
      </x:c>
      <x:c r="B13" s="60" t="str">
        <x:v>KHOSHI</x:v>
      </x:c>
      <x:c r="C13" s="60"/>
      <x:c r="D13" s="61" t="n">
        <x:v>30713.5</x:v>
      </x:c>
      <x:c r="E13" s="62" t="n">
        <x:f>IF(OR(D13="",X13=""),"",IFERROR(DATEDIF(D13,X13,"y"),""))</x:f>
        <x:v>42</x:v>
      </x:c>
      <x:c r="F13" s="60"/>
      <x:c r="G13" s="63"/>
      <x:c r="H13" s="63"/>
      <x:c r="I13" s="61"/>
      <x:c r="J13" s="64" t="str">
        <x:f>IF(OR(I13="",X13=""),"",IFERROR(DATEDIF(I13,X13,"m")/12,""))</x:f>
      </x:c>
      <x:c r="K13" s="60" t="str">
        <x:v>FLAT 9, 8 LEINSTER GARDENS, LONDON, W2 6DP</x:v>
      </x:c>
      <x:c r="L13" s="60" t="str">
        <x:v> W2 6DP</x:v>
      </x:c>
      <x:c r="M13" s="60"/>
      <x:c r="N13" s="60" t="str">
        <x:v>W2 6DP</x:v>
      </x:c>
      <x:c r="O13" s="61"/>
      <x:c r="P13" s="64" t="str">
        <x:f>IF(OR(O13="",I13=""),"",IFERROR(DATEDIF(O13,I13,"m")/12,""))</x:f>
      </x:c>
      <x:c r="Q13" s="60"/>
      <x:c r="R13" s="61"/>
      <x:c r="S13" s="64" t="str">
        <x:f>IF(OR(R13="",X13=""),"",IFERROR(DATEDIF(R13,X13,"m")/12,""))</x:f>
      </x:c>
      <x:c r="T13" s="60"/>
      <x:c r="U13" s="60"/>
      <x:c r="V13" s="60"/>
      <x:c r="W13" s="63"/>
      <x:c r="X13" s="65" t="n">
        <x:f>TODAY()</x:f>
        <x:v>46250</x:v>
      </x:c>
    </x:row>
    <x:row r="14">
      <x:c r="A14" s="59" t="str">
        <x:v>AHMED</x:v>
      </x:c>
      <x:c r="B14" s="60" t="str">
        <x:v>KHOSHI</x:v>
      </x:c>
      <x:c r="C14" s="60"/>
      <x:c r="D14" s="61" t="n">
        <x:v>30713.5</x:v>
      </x:c>
      <x:c r="E14" s="62" t="n">
        <x:f>IF(OR(D14="",X14=""),"",IFERROR(DATEDIF(D14,X14,"y"),""))</x:f>
        <x:v>42</x:v>
      </x:c>
      <x:c r="F14" s="60"/>
      <x:c r="G14" s="63"/>
      <x:c r="H14" s="63"/>
      <x:c r="I14" s="61"/>
      <x:c r="J14" s="64" t="str">
        <x:f>IF(OR(I14="",X14=""),"",IFERROR(DATEDIF(I14,X14,"m")/12,""))</x:f>
      </x:c>
      <x:c r="K14" s="60" t="str">
        <x:v>FLAT 9, 8 LEINSTER GARDENS, LONDON, W2 6DP</x:v>
      </x:c>
      <x:c r="L14" s="60" t="str">
        <x:v> W2 6DP</x:v>
      </x:c>
      <x:c r="M14" s="60"/>
      <x:c r="N14" s="60" t="str">
        <x:v>W2 6DP</x:v>
      </x:c>
      <x:c r="O14" s="61"/>
      <x:c r="P14" s="64" t="str">
        <x:f>IF(OR(O14="",I14=""),"",IFERROR(DATEDIF(O14,I14,"m")/12,""))</x:f>
      </x:c>
      <x:c r="Q14" s="60"/>
      <x:c r="R14" s="61"/>
      <x:c r="S14" s="64" t="str">
        <x:f>IF(OR(R14="",X14=""),"",IFERROR(DATEDIF(R14,X14,"m")/12,""))</x:f>
      </x:c>
      <x:c r="T14" s="60"/>
      <x:c r="U14" s="60"/>
      <x:c r="V14" s="60"/>
      <x:c r="W14" s="63"/>
      <x:c r="X14" s="65" t="n">
        <x:f>TODAY()</x:f>
        <x:v>46250</x:v>
      </x:c>
    </x:row>
    <x:row r="15">
      <x:c r="A15" s="59" t="str">
        <x:v>AKHTAR</x:v>
      </x:c>
      <x:c r="B15" s="60" t="str">
        <x:v>NAWAB</x:v>
      </x:c>
      <x:c r="C15" s="60"/>
      <x:c r="D15" s="61" t="n">
        <x:v>14689.5</x:v>
      </x:c>
      <x:c r="E15" s="62" t="n">
        <x:f>IF(OR(D15="",X15=""),"",IFERROR(DATEDIF(D15,X15,"y"),""))</x:f>
        <x:v>86</x:v>
      </x:c>
      <x:c r="F15" s="60" t="str">
        <x:v>CHOWDRY</x:v>
      </x:c>
      <x:c r="G15" s="63" t="str">
        <x:v>07824855387</x:v>
      </x:c>
      <x:c r="H15" s="63" t="str">
        <x:v>YL124470B</x:v>
      </x:c>
      <x:c r="I15" s="61" t="n">
        <x:v>39203.5</x:v>
      </x:c>
      <x:c r="J15" s="64" t="n">
        <x:f>IF(OR(I15="",X15=""),"",IFERROR(DATEDIF(I15,X15,"m")/12,""))</x:f>
        <x:v>19.25</x:v>
      </x:c>
      <x:c r="K15" s="60" t="str">
        <x:v>FLAT 28, 17-19 CRAVEN TERRACE, LONDON, W2 3QH</x:v>
      </x:c>
      <x:c r="L15" s="60" t="str">
        <x:v> W2 3QH</x:v>
      </x:c>
      <x:c r="M15" s="60"/>
      <x:c r="N15" s="60" t="str">
        <x:v>W2 3QH</x:v>
      </x:c>
      <x:c r="O15" s="61"/>
      <x:c r="P15" s="64" t="str">
        <x:f>IF(OR(O15="",I15=""),"",IFERROR(DATEDIF(O15,I15,"m")/12,""))</x:f>
      </x:c>
      <x:c r="Q15" s="60"/>
      <x:c r="R15" s="61"/>
      <x:c r="S15" s="64" t="str">
        <x:f>IF(OR(R15="",X15=""),"",IFERROR(DATEDIF(R15,X15,"m")/12,""))</x:f>
      </x:c>
      <x:c r="T15" s="60"/>
      <x:c r="U15" s="60"/>
      <x:c r="V15" s="60"/>
      <x:c r="W15" s="63"/>
      <x:c r="X15" s="65" t="n">
        <x:f>TODAY()</x:f>
        <x:v>46250</x:v>
      </x:c>
    </x:row>
    <x:row r="16">
      <x:c r="A16" s="59" t="str">
        <x:v>AKHTAR</x:v>
      </x:c>
      <x:c r="B16" s="60" t="str">
        <x:v>NAWAB</x:v>
      </x:c>
      <x:c r="C16" s="60"/>
      <x:c r="D16" s="61" t="n">
        <x:v>14689.5</x:v>
      </x:c>
      <x:c r="E16" s="62" t="n">
        <x:f>IF(OR(D16="",X16=""),"",IFERROR(DATEDIF(D16,X16,"y"),""))</x:f>
        <x:v>86</x:v>
      </x:c>
      <x:c r="F16" s="60" t="str">
        <x:v>CHOWDRY</x:v>
      </x:c>
      <x:c r="G16" s="63" t="str">
        <x:v>07824855387</x:v>
      </x:c>
      <x:c r="H16" s="63" t="str">
        <x:v>YL124470B</x:v>
      </x:c>
      <x:c r="I16" s="61" t="n">
        <x:v>39203.5</x:v>
      </x:c>
      <x:c r="J16" s="64" t="n">
        <x:f>IF(OR(I16="",X16=""),"",IFERROR(DATEDIF(I16,X16,"m")/12,""))</x:f>
        <x:v>19.25</x:v>
      </x:c>
      <x:c r="K16" s="60" t="str">
        <x:v>FLAT 28, 17-19 CRAVEN TERRACE, LONDON, W2 3QH</x:v>
      </x:c>
      <x:c r="L16" s="60" t="str">
        <x:v> W2 3QH</x:v>
      </x:c>
      <x:c r="M16" s="60"/>
      <x:c r="N16" s="60" t="str">
        <x:v>W2 3QH</x:v>
      </x:c>
      <x:c r="O16" s="61"/>
      <x:c r="P16" s="64" t="str">
        <x:f>IF(OR(O16="",I16=""),"",IFERROR(DATEDIF(O16,I16,"m")/12,""))</x:f>
      </x:c>
      <x:c r="Q16" s="60"/>
      <x:c r="R16" s="61"/>
      <x:c r="S16" s="64" t="str">
        <x:f>IF(OR(R16="",X16=""),"",IFERROR(DATEDIF(R16,X16,"m")/12,""))</x:f>
      </x:c>
      <x:c r="T16" s="60"/>
      <x:c r="U16" s="60"/>
      <x:c r="V16" s="60"/>
      <x:c r="W16" s="63"/>
      <x:c r="X16" s="65" t="n">
        <x:f>TODAY()</x:f>
        <x:v>46250</x:v>
      </x:c>
    </x:row>
    <x:row r="17">
      <x:c r="A17" s="59" t="str">
        <x:v>ALBRECHT</x:v>
      </x:c>
      <x:c r="B17" s="60" t="str">
        <x:v>JEAN-CLAUDE</x:v>
      </x:c>
      <x:c r="C17" s="60" t="str">
        <x:v>DIDIER</x:v>
      </x:c>
      <x:c r="D17" s="61" t="n">
        <x:v>21114.5</x:v>
      </x:c>
      <x:c r="E17" s="62" t="n">
        <x:f>IF(OR(D17="",X17=""),"",IFERROR(DATEDIF(D17,X17,"y"),""))</x:f>
        <x:v>68</x:v>
      </x:c>
      <x:c r="F17" s="60"/>
      <x:c r="G17" s="63"/>
      <x:c r="H17" s="63"/>
      <x:c r="I17" s="61"/>
      <x:c r="J17" s="64" t="str">
        <x:f>IF(OR(I17="",X17=""),"",IFERROR(DATEDIF(I17,X17,"m")/12,""))</x:f>
      </x:c>
      <x:c r="K17" s="60" t="str">
        <x:v>94 WESTBOURNE TERRACE, LONDON, W2 6QE</x:v>
      </x:c>
      <x:c r="L17" s="60" t="str">
        <x:v> W2 6QE</x:v>
      </x:c>
      <x:c r="M17" s="60"/>
      <x:c r="N17" s="60" t="str">
        <x:v>W2 6QE</x:v>
      </x:c>
      <x:c r="O17" s="61"/>
      <x:c r="P17" s="64" t="str">
        <x:f>IF(OR(O17="",I17=""),"",IFERROR(DATEDIF(O17,I17,"m")/12,""))</x:f>
      </x:c>
      <x:c r="Q17" s="60"/>
      <x:c r="R17" s="61" t="n">
        <x:v>41609.5</x:v>
      </x:c>
      <x:c r="S17" s="64" t="n">
        <x:f>IF(OR(R17="",X17=""),"",IFERROR(DATEDIF(R17,X17,"m")/12,""))</x:f>
        <x:v>12.666666666666666</x:v>
      </x:c>
      <x:c r="T17" s="60" t="str">
        <x:v>GENERAL PRACTITIONER</x:v>
      </x:c>
      <x:c r="U17" s="60" t="str">
        <x:v>PALM MMEDICAL CENTRE</x:v>
      </x:c>
      <x:c r="V17" s="60" t="str">
        <x:v>25 LIVERPOOL STREET LONDON EC2M 7PD</x:v>
      </x:c>
      <x:c r="W17" s="63" t="str">
        <x:v>020 7283 1966</x:v>
      </x:c>
      <x:c r="X17" s="65" t="n">
        <x:f>TODAY()</x:f>
        <x:v>46250</x:v>
      </x:c>
    </x:row>
    <x:row r="18">
      <x:c r="A18" s="59" t="str">
        <x:v>ALBRECHT</x:v>
      </x:c>
      <x:c r="B18" s="60" t="str">
        <x:v>JEAN-CLAUDE</x:v>
      </x:c>
      <x:c r="C18" s="60" t="str">
        <x:v>DIDIER</x:v>
      </x:c>
      <x:c r="D18" s="61" t="n">
        <x:v>21114.5</x:v>
      </x:c>
      <x:c r="E18" s="62" t="n">
        <x:f>IF(OR(D18="",X18=""),"",IFERROR(DATEDIF(D18,X18,"y"),""))</x:f>
        <x:v>68</x:v>
      </x:c>
      <x:c r="F18" s="60"/>
      <x:c r="G18" s="63"/>
      <x:c r="H18" s="63"/>
      <x:c r="I18" s="61"/>
      <x:c r="J18" s="64" t="str">
        <x:f>IF(OR(I18="",X18=""),"",IFERROR(DATEDIF(I18,X18,"m")/12,""))</x:f>
      </x:c>
      <x:c r="K18" s="60" t="str">
        <x:v>95 WESTBOURNE TERRACE, LONDON, W2 6QE</x:v>
      </x:c>
      <x:c r="L18" s="60" t="str">
        <x:v> W2 6QE</x:v>
      </x:c>
      <x:c r="M18" s="60"/>
      <x:c r="N18" s="60" t="str">
        <x:v>W2 6QE</x:v>
      </x:c>
      <x:c r="O18" s="61"/>
      <x:c r="P18" s="64" t="str">
        <x:f>IF(OR(O18="",I18=""),"",IFERROR(DATEDIF(O18,I18,"m")/12,""))</x:f>
      </x:c>
      <x:c r="Q18" s="60"/>
      <x:c r="R18" s="61" t="n">
        <x:v>41609.5</x:v>
      </x:c>
      <x:c r="S18" s="64" t="n">
        <x:f>IF(OR(R18="",X18=""),"",IFERROR(DATEDIF(R18,X18,"m")/12,""))</x:f>
        <x:v>12.666666666666666</x:v>
      </x:c>
      <x:c r="T18" s="60" t="str">
        <x:v>GENERAL PRACTITIONER</x:v>
      </x:c>
      <x:c r="U18" s="60" t="str">
        <x:v>PALM MMEDICAL CENTRE</x:v>
      </x:c>
      <x:c r="V18" s="60" t="str">
        <x:v>26 LIVERPOOL STREET LONDON EC2M 7PD</x:v>
      </x:c>
      <x:c r="W18" s="63" t="str">
        <x:v>21 7283 1966</x:v>
      </x:c>
      <x:c r="X18" s="65" t="n">
        <x:f>TODAY()</x:f>
        <x:v>46250</x:v>
      </x:c>
    </x:row>
    <x:row r="19">
      <x:c r="A19" s="59" t="str">
        <x:v>ALLPRESS</x:v>
      </x:c>
      <x:c r="B19" s="60" t="str">
        <x:v>AMY</x:v>
      </x:c>
      <x:c r="C19" s="60" t="str">
        <x:v>LOUISE</x:v>
      </x:c>
      <x:c r="D19" s="61" t="n">
        <x:v>34231.5</x:v>
      </x:c>
      <x:c r="E19" s="62" t="n">
        <x:f>IF(OR(D19="",X19=""),"",IFERROR(DATEDIF(D19,X19,"y"),""))</x:f>
        <x:v>32</x:v>
      </x:c>
      <x:c r="F19" s="60" t="str">
        <x:v>BAYDEN</x:v>
      </x:c>
      <x:c r="G19" s="63" t="str">
        <x:v>07849186650</x:v>
      </x:c>
      <x:c r="H19" s="63"/>
      <x:c r="I19" s="61" t="n">
        <x:v>44774.5</x:v>
      </x:c>
      <x:c r="J19" s="64" t="n">
        <x:f>IF(OR(I19="",X19=""),"",IFERROR(DATEDIF(I19,X19,"m")/12,""))</x:f>
        <x:v>4</x:v>
      </x:c>
      <x:c r="K19" s="60" t="str">
        <x:v>FLAT 4, 272 274 FULHAM ROAD, LONDON, SW10 9EW</x:v>
      </x:c>
      <x:c r="L19" s="60" t="str">
        <x:v> SW10 9EW</x:v>
      </x:c>
      <x:c r="M19" s="60"/>
      <x:c r="N19" s="60" t="str">
        <x:v>SW10 9EW</x:v>
      </x:c>
      <x:c r="O19" s="61" t="n">
        <x:v>43952.5</x:v>
      </x:c>
      <x:c r="P19" s="64" t="n">
        <x:f>IF(OR(O19="",I19=""),"",IFERROR(DATEDIF(O19,I19,"m")/12,""))</x:f>
        <x:v>2.25</x:v>
      </x:c>
      <x:c r="Q19" s="60" t="str">
        <x:v>69 MYSORE ROAD, LONDON, SW11 5RY</x:v>
      </x:c>
      <x:c r="R19" s="61"/>
      <x:c r="S19" s="64" t="str">
        <x:f>IF(OR(R19="",X19=""),"",IFERROR(DATEDIF(R19,X19,"m")/12,""))</x:f>
      </x:c>
      <x:c r="T19" s="60"/>
      <x:c r="U19" s="60"/>
      <x:c r="V19" s="60"/>
      <x:c r="W19" s="63"/>
      <x:c r="X19" s="65" t="n">
        <x:f>TODAY()</x:f>
        <x:v>46250</x:v>
      </x:c>
    </x:row>
    <x:row r="20">
      <x:c r="A20" s="59" t="str">
        <x:v>ALLPRESS</x:v>
      </x:c>
      <x:c r="B20" s="60" t="str">
        <x:v>AMY</x:v>
      </x:c>
      <x:c r="C20" s="60" t="str">
        <x:v>LOUISE</x:v>
      </x:c>
      <x:c r="D20" s="61" t="n">
        <x:v>34231.5</x:v>
      </x:c>
      <x:c r="E20" s="62" t="n">
        <x:f>IF(OR(D20="",X20=""),"",IFERROR(DATEDIF(D20,X20,"y"),""))</x:f>
        <x:v>32</x:v>
      </x:c>
      <x:c r="F20" s="60" t="str">
        <x:v>BAYDEN</x:v>
      </x:c>
      <x:c r="G20" s="63" t="str">
        <x:v>07849186650</x:v>
      </x:c>
      <x:c r="H20" s="63"/>
      <x:c r="I20" s="61" t="n">
        <x:v>44774.5</x:v>
      </x:c>
      <x:c r="J20" s="64" t="n">
        <x:f>IF(OR(I20="",X20=""),"",IFERROR(DATEDIF(I20,X20,"m")/12,""))</x:f>
        <x:v>4</x:v>
      </x:c>
      <x:c r="K20" s="60" t="str">
        <x:v>FLAT 4, 272 274 FULHAM ROAD, LONDON, SW10 9EW</x:v>
      </x:c>
      <x:c r="L20" s="60" t="str">
        <x:v> SW10 9EW</x:v>
      </x:c>
      <x:c r="M20" s="60"/>
      <x:c r="N20" s="60" t="str">
        <x:v>SW10 9EW</x:v>
      </x:c>
      <x:c r="O20" s="61" t="n">
        <x:v>43952.5</x:v>
      </x:c>
      <x:c r="P20" s="64" t="n">
        <x:f>IF(OR(O20="",I20=""),"",IFERROR(DATEDIF(O20,I20,"m")/12,""))</x:f>
        <x:v>2.25</x:v>
      </x:c>
      <x:c r="Q20" s="60" t="str">
        <x:v>70 MYSORE ROAD, LONDON, SW11 5RY</x:v>
      </x:c>
      <x:c r="R20" s="61"/>
      <x:c r="S20" s="64" t="str">
        <x:f>IF(OR(R20="",X20=""),"",IFERROR(DATEDIF(R20,X20,"m")/12,""))</x:f>
      </x:c>
      <x:c r="T20" s="60"/>
      <x:c r="U20" s="60"/>
      <x:c r="V20" s="60"/>
      <x:c r="W20" s="63"/>
      <x:c r="X20" s="65" t="n">
        <x:f>TODAY()</x:f>
        <x:v>46250</x:v>
      </x:c>
    </x:row>
    <x:row r="21">
      <x:c r="A21" s="59" t="str">
        <x:v>ALSAADY</x:v>
      </x:c>
      <x:c r="B21" s="60" t="str">
        <x:v>HOSSAM</x:v>
      </x:c>
      <x:c r="C21" s="60" t="str">
        <x:v>ESMAT</x:v>
      </x:c>
      <x:c r="D21" s="61" t="n">
        <x:v>25503.5</x:v>
      </x:c>
      <x:c r="E21" s="62" t="n">
        <x:f>IF(OR(D21="",X21=""),"",IFERROR(DATEDIF(D21,X21,"y"),""))</x:f>
        <x:v>56</x:v>
      </x:c>
      <x:c r="F21" s="60"/>
      <x:c r="G21" s="63" t="str">
        <x:v>07444942667</x:v>
      </x:c>
      <x:c r="H21" s="63"/>
      <x:c r="I21" s="61"/>
      <x:c r="J21" s="64" t="str">
        <x:f>IF(OR(I21="",X21=""),"",IFERROR(DATEDIF(I21,X21,"m")/12,""))</x:f>
      </x:c>
      <x:c r="K21" s="60"/>
      <x:c r="L21" s="60"/>
      <x:c r="M21" s="60"/>
      <x:c r="N21" s="60"/>
      <x:c r="O21" s="61"/>
      <x:c r="P21" s="64" t="str">
        <x:f>IF(OR(O21="",I21=""),"",IFERROR(DATEDIF(O21,I21,"m")/12,""))</x:f>
      </x:c>
      <x:c r="Q21" s="60"/>
      <x:c r="R21" s="61"/>
      <x:c r="S21" s="64" t="str">
        <x:f>IF(OR(R21="",X21=""),"",IFERROR(DATEDIF(R21,X21,"m")/12,""))</x:f>
      </x:c>
      <x:c r="T21" s="60"/>
      <x:c r="U21" s="60"/>
      <x:c r="V21" s="60"/>
      <x:c r="W21" s="63"/>
      <x:c r="X21" s="65" t="n">
        <x:f>TODAY()</x:f>
        <x:v>46250</x:v>
      </x:c>
    </x:row>
    <x:row r="22">
      <x:c r="A22" s="59" t="str">
        <x:v>ALSAADY</x:v>
      </x:c>
      <x:c r="B22" s="60" t="str">
        <x:v>HOSSAM</x:v>
      </x:c>
      <x:c r="C22" s="60" t="str">
        <x:v>ESMAT</x:v>
      </x:c>
      <x:c r="D22" s="61" t="n">
        <x:v>25503.5</x:v>
      </x:c>
      <x:c r="E22" s="62" t="n">
        <x:f>IF(OR(D22="",X22=""),"",IFERROR(DATEDIF(D22,X22,"y"),""))</x:f>
        <x:v>56</x:v>
      </x:c>
      <x:c r="F22" s="60"/>
      <x:c r="G22" s="63" t="str">
        <x:v>07444942667</x:v>
      </x:c>
      <x:c r="H22" s="63"/>
      <x:c r="I22" s="61"/>
      <x:c r="J22" s="64" t="str">
        <x:f>IF(OR(I22="",X22=""),"",IFERROR(DATEDIF(I22,X22,"m")/12,""))</x:f>
      </x:c>
      <x:c r="K22" s="60"/>
      <x:c r="L22" s="60"/>
      <x:c r="M22" s="60"/>
      <x:c r="N22" s="60"/>
      <x:c r="O22" s="61"/>
      <x:c r="P22" s="64" t="str">
        <x:f>IF(OR(O22="",I22=""),"",IFERROR(DATEDIF(O22,I22,"m")/12,""))</x:f>
      </x:c>
      <x:c r="Q22" s="60"/>
      <x:c r="R22" s="61"/>
      <x:c r="S22" s="64" t="str">
        <x:f>IF(OR(R22="",X22=""),"",IFERROR(DATEDIF(R22,X22,"m")/12,""))</x:f>
      </x:c>
      <x:c r="T22" s="60"/>
      <x:c r="U22" s="60"/>
      <x:c r="V22" s="60"/>
      <x:c r="W22" s="63"/>
      <x:c r="X22" s="65" t="n">
        <x:f>TODAY()</x:f>
        <x:v>46250</x:v>
      </x:c>
    </x:row>
    <x:row r="23">
      <x:c r="A23" s="59" t="str">
        <x:v>AMRAM</x:v>
      </x:c>
      <x:c r="B23" s="60" t="str">
        <x:v>FILIP</x:v>
      </x:c>
      <x:c r="C23" s="60" t="str">
        <x:v>ALBERT</x:v>
      </x:c>
      <x:c r="D23" s="61" t="n">
        <x:v>24692.5</x:v>
      </x:c>
      <x:c r="E23" s="62" t="n">
        <x:f>IF(OR(D23="",X23=""),"",IFERROR(DATEDIF(D23,X23,"y"),""))</x:f>
        <x:v>59</x:v>
      </x:c>
      <x:c r="F23" s="60"/>
      <x:c r="G23" s="63" t="str">
        <x:v>07586420823</x:v>
      </x:c>
      <x:c r="H23" s="63"/>
      <x:c r="I23" s="61" t="n">
        <x:v>41913.5</x:v>
      </x:c>
      <x:c r="J23" s="64" t="n">
        <x:f>IF(OR(I23="",X23=""),"",IFERROR(DATEDIF(I23,X23,"m")/12,""))</x:f>
        <x:v>11.833333333333334</x:v>
      </x:c>
      <x:c r="K23" s="60" t="str">
        <x:v>FLAT 14, FORDHAM COURT, 9-13 DE VERE GARDENS, LONDON, W8 5AP</x:v>
      </x:c>
      <x:c r="L23" s="60" t="str">
        <x:v> W8 5AP</x:v>
      </x:c>
      <x:c r="M23" s="60"/>
      <x:c r="N23" s="60" t="str">
        <x:v>W8 5AP</x:v>
      </x:c>
      <x:c r="O23" s="61"/>
      <x:c r="P23" s="64" t="str">
        <x:f>IF(OR(O23="",I23=""),"",IFERROR(DATEDIF(O23,I23,"m")/12,""))</x:f>
      </x:c>
      <x:c r="Q23" s="60" t="str">
        <x:v>FLAT C, 7 SLOANE AVENUE, LONDON, SW3 3JD</x:v>
      </x:c>
      <x:c r="R23" s="61"/>
      <x:c r="S23" s="64" t="str">
        <x:f>IF(OR(R23="",X23=""),"",IFERROR(DATEDIF(R23,X23,"m")/12,""))</x:f>
      </x:c>
      <x:c r="T23" s="60"/>
      <x:c r="U23" s="60"/>
      <x:c r="V23" s="60"/>
      <x:c r="W23" s="63"/>
      <x:c r="X23" s="65" t="n">
        <x:f>TODAY()</x:f>
        <x:v>46250</x:v>
      </x:c>
    </x:row>
    <x:row r="24">
      <x:c r="A24" s="59" t="str">
        <x:v>AMRAM</x:v>
      </x:c>
      <x:c r="B24" s="60" t="str">
        <x:v>FILIP</x:v>
      </x:c>
      <x:c r="C24" s="60" t="str">
        <x:v>ALBERT</x:v>
      </x:c>
      <x:c r="D24" s="61" t="n">
        <x:v>24692.5</x:v>
      </x:c>
      <x:c r="E24" s="62" t="n">
        <x:f>IF(OR(D24="",X24=""),"",IFERROR(DATEDIF(D24,X24,"y"),""))</x:f>
        <x:v>59</x:v>
      </x:c>
      <x:c r="F24" s="60"/>
      <x:c r="G24" s="63" t="str">
        <x:v>07586420823</x:v>
      </x:c>
      <x:c r="H24" s="63"/>
      <x:c r="I24" s="61" t="n">
        <x:v>41913.5</x:v>
      </x:c>
      <x:c r="J24" s="64" t="n">
        <x:f>IF(OR(I24="",X24=""),"",IFERROR(DATEDIF(I24,X24,"m")/12,""))</x:f>
        <x:v>11.833333333333334</x:v>
      </x:c>
      <x:c r="K24" s="60" t="str">
        <x:v>FLAT 14, FORDHAM COURT, 9-13 DE VERE GARDENS, LONDON, W8 5AP</x:v>
      </x:c>
      <x:c r="L24" s="60" t="str">
        <x:v> W8 5AP</x:v>
      </x:c>
      <x:c r="M24" s="60"/>
      <x:c r="N24" s="60" t="str">
        <x:v>W8 5AP</x:v>
      </x:c>
      <x:c r="O24" s="61"/>
      <x:c r="P24" s="64" t="str">
        <x:f>IF(OR(O24="",I24=""),"",IFERROR(DATEDIF(O24,I24,"m")/12,""))</x:f>
      </x:c>
      <x:c r="Q24" s="60" t="str">
        <x:v>FLAT C, 7 SLOANE AVENUE, LONDON, SW3 3JD</x:v>
      </x:c>
      <x:c r="R24" s="61"/>
      <x:c r="S24" s="64" t="str">
        <x:f>IF(OR(R24="",X24=""),"",IFERROR(DATEDIF(R24,X24,"m")/12,""))</x:f>
      </x:c>
      <x:c r="T24" s="60"/>
      <x:c r="U24" s="60"/>
      <x:c r="V24" s="60"/>
      <x:c r="W24" s="63"/>
      <x:c r="X24" s="65" t="n">
        <x:f>TODAY()</x:f>
        <x:v>46250</x:v>
      </x:c>
    </x:row>
    <x:row r="25">
      <x:c r="A25" s="59" t="str">
        <x:v>ANDERSSON</x:v>
      </x:c>
      <x:c r="B25" s="60" t="str">
        <x:v>ANNA CLARA</x:v>
      </x:c>
      <x:c r="C25" s="60" t="str">
        <x:v>G</x:v>
      </x:c>
      <x:c r="D25" s="61" t="n">
        <x:v>25419.5</x:v>
      </x:c>
      <x:c r="E25" s="62" t="n">
        <x:f>IF(OR(D25="",X25=""),"",IFERROR(DATEDIF(D25,X25,"y"),""))</x:f>
        <x:v>57</x:v>
      </x:c>
      <x:c r="F25" s="60"/>
      <x:c r="G25" s="63" t="str">
        <x:v>07598 590729</x:v>
      </x:c>
      <x:c r="H25" s="63"/>
      <x:c r="I25" s="61"/>
      <x:c r="J25" s="64" t="str">
        <x:f>IF(OR(I25="",X25=""),"",IFERROR(DATEDIF(I25,X25,"m")/12,""))</x:f>
      </x:c>
      <x:c r="K25" s="60" t="str">
        <x:v>FLAT 1, 1 NEVERN SQUARE, LONDON, SW5 9NW</x:v>
      </x:c>
      <x:c r="L25" s="60" t="str">
        <x:v> SW5 9NW</x:v>
      </x:c>
      <x:c r="M25" s="60"/>
      <x:c r="N25" s="60" t="str">
        <x:v>SW5 9NW</x:v>
      </x:c>
      <x:c r="O25" s="61"/>
      <x:c r="P25" s="64" t="str">
        <x:f>IF(OR(O25="",I25=""),"",IFERROR(DATEDIF(O25,I25,"m")/12,""))</x:f>
      </x:c>
      <x:c r="Q25" s="60"/>
      <x:c r="R25" s="61"/>
      <x:c r="S25" s="64" t="str">
        <x:f>IF(OR(R25="",X25=""),"",IFERROR(DATEDIF(R25,X25,"m")/12,""))</x:f>
      </x:c>
      <x:c r="T25" s="60"/>
      <x:c r="U25" s="60"/>
      <x:c r="V25" s="60"/>
      <x:c r="W25" s="63"/>
      <x:c r="X25" s="65" t="n">
        <x:f>TODAY()</x:f>
        <x:v>46250</x:v>
      </x:c>
    </x:row>
    <x:row r="26">
      <x:c r="A26" s="59" t="str">
        <x:v>ANDERSSON</x:v>
      </x:c>
      <x:c r="B26" s="60" t="str">
        <x:v>JONAS</x:v>
      </x:c>
      <x:c r="C26" s="60"/>
      <x:c r="D26" s="61" t="n">
        <x:v>25874.5</x:v>
      </x:c>
      <x:c r="E26" s="62" t="n">
        <x:f>IF(OR(D26="",X26=""),"",IFERROR(DATEDIF(D26,X26,"y"),""))</x:f>
        <x:v>55</x:v>
      </x:c>
      <x:c r="F26" s="60"/>
      <x:c r="G26" s="63"/>
      <x:c r="H26" s="63"/>
      <x:c r="I26" s="61"/>
      <x:c r="J26" s="64" t="str">
        <x:f>IF(OR(I26="",X26=""),"",IFERROR(DATEDIF(I26,X26,"m")/12,""))</x:f>
      </x:c>
      <x:c r="K26" s="60"/>
      <x:c r="L26" s="60"/>
      <x:c r="M26" s="60"/>
      <x:c r="N26" s="60"/>
      <x:c r="O26" s="61"/>
      <x:c r="P26" s="64" t="str">
        <x:f>IF(OR(O26="",I26=""),"",IFERROR(DATEDIF(O26,I26,"m")/12,""))</x:f>
      </x:c>
      <x:c r="Q26" s="60"/>
      <x:c r="R26" s="61"/>
      <x:c r="S26" s="64" t="str">
        <x:f>IF(OR(R26="",X26=""),"",IFERROR(DATEDIF(R26,X26,"m")/12,""))</x:f>
      </x:c>
      <x:c r="T26" s="60"/>
      <x:c r="U26" s="60"/>
      <x:c r="V26" s="60"/>
      <x:c r="W26" s="63"/>
      <x:c r="X26" s="65" t="n">
        <x:f>TODAY()</x:f>
        <x:v>46250</x:v>
      </x:c>
    </x:row>
    <x:row r="27">
      <x:c r="A27" s="59" t="str">
        <x:v>ANDERSSON</x:v>
      </x:c>
      <x:c r="B27" s="60" t="str">
        <x:v>ANNA CLARA</x:v>
      </x:c>
      <x:c r="C27" s="60" t="str">
        <x:v>G</x:v>
      </x:c>
      <x:c r="D27" s="61" t="n">
        <x:v>25419.5</x:v>
      </x:c>
      <x:c r="E27" s="62" t="n">
        <x:f>IF(OR(D27="",X27=""),"",IFERROR(DATEDIF(D27,X27,"y"),""))</x:f>
        <x:v>57</x:v>
      </x:c>
      <x:c r="F27" s="60"/>
      <x:c r="G27" s="63" t="str">
        <x:v>7599 590729</x:v>
      </x:c>
      <x:c r="H27" s="63"/>
      <x:c r="I27" s="61"/>
      <x:c r="J27" s="64" t="str">
        <x:f>IF(OR(I27="",X27=""),"",IFERROR(DATEDIF(I27,X27,"m")/12,""))</x:f>
      </x:c>
      <x:c r="K27" s="60" t="str">
        <x:v>FLAT 1, 1 NEVERN SQUARE, LONDON, SW5 9NW</x:v>
      </x:c>
      <x:c r="L27" s="60" t="str">
        <x:v> SW5 9NW</x:v>
      </x:c>
      <x:c r="M27" s="60"/>
      <x:c r="N27" s="60" t="str">
        <x:v>SW5 9NW</x:v>
      </x:c>
      <x:c r="O27" s="61"/>
      <x:c r="P27" s="64" t="str">
        <x:f>IF(OR(O27="",I27=""),"",IFERROR(DATEDIF(O27,I27,"m")/12,""))</x:f>
      </x:c>
      <x:c r="Q27" s="60"/>
      <x:c r="R27" s="61"/>
      <x:c r="S27" s="64" t="str">
        <x:f>IF(OR(R27="",X27=""),"",IFERROR(DATEDIF(R27,X27,"m")/12,""))</x:f>
      </x:c>
      <x:c r="T27" s="60"/>
      <x:c r="U27" s="60"/>
      <x:c r="V27" s="60"/>
      <x:c r="W27" s="63"/>
      <x:c r="X27" s="65" t="n">
        <x:f>TODAY()</x:f>
        <x:v>46250</x:v>
      </x:c>
    </x:row>
    <x:row r="28">
      <x:c r="A28" s="59" t="str">
        <x:v>ANDERSSON</x:v>
      </x:c>
      <x:c r="B28" s="60" t="str">
        <x:v>JONAS</x:v>
      </x:c>
      <x:c r="C28" s="60"/>
      <x:c r="D28" s="61" t="n">
        <x:v>25874.5</x:v>
      </x:c>
      <x:c r="E28" s="62" t="n">
        <x:f>IF(OR(D28="",X28=""),"",IFERROR(DATEDIF(D28,X28,"y"),""))</x:f>
        <x:v>55</x:v>
      </x:c>
      <x:c r="F28" s="60"/>
      <x:c r="G28" s="63"/>
      <x:c r="H28" s="63"/>
      <x:c r="I28" s="61"/>
      <x:c r="J28" s="64" t="str">
        <x:f>IF(OR(I28="",X28=""),"",IFERROR(DATEDIF(I28,X28,"m")/12,""))</x:f>
      </x:c>
      <x:c r="K28" s="60"/>
      <x:c r="L28" s="60"/>
      <x:c r="M28" s="60"/>
      <x:c r="N28" s="60"/>
      <x:c r="O28" s="61"/>
      <x:c r="P28" s="64" t="str">
        <x:f>IF(OR(O28="",I28=""),"",IFERROR(DATEDIF(O28,I28,"m")/12,""))</x:f>
      </x:c>
      <x:c r="Q28" s="60"/>
      <x:c r="R28" s="61"/>
      <x:c r="S28" s="64" t="str">
        <x:f>IF(OR(R28="",X28=""),"",IFERROR(DATEDIF(R28,X28,"m")/12,""))</x:f>
      </x:c>
      <x:c r="T28" s="60"/>
      <x:c r="U28" s="60"/>
      <x:c r="V28" s="60"/>
      <x:c r="W28" s="63"/>
      <x:c r="X28" s="65" t="n">
        <x:f>TODAY()</x:f>
        <x:v>46250</x:v>
      </x:c>
    </x:row>
    <x:row r="29">
      <x:c r="A29" s="59" t="str">
        <x:v>ANGELINI</x:v>
      </x:c>
      <x:c r="B29" s="60" t="str">
        <x:v>NAZZARO</x:v>
      </x:c>
      <x:c r="C29" s="60"/>
      <x:c r="D29" s="61" t="n">
        <x:v>23543.5</x:v>
      </x:c>
      <x:c r="E29" s="62" t="n">
        <x:f>IF(OR(D29="",X29=""),"",IFERROR(DATEDIF(D29,X29,"y"),""))</x:f>
        <x:v>62</x:v>
      </x:c>
      <x:c r="F29" s="60"/>
      <x:c r="G29" s="63"/>
      <x:c r="H29" s="63"/>
      <x:c r="I29" s="61"/>
      <x:c r="J29" s="64" t="str">
        <x:f>IF(OR(I29="",X29=""),"",IFERROR(DATEDIF(I29,X29,"m")/12,""))</x:f>
      </x:c>
      <x:c r="K29" s="60" t="str">
        <x:v>FLAT 7, 288-290 FULHAM ROAD, LONDON, SW10 9EW</x:v>
      </x:c>
      <x:c r="L29" s="60" t="str">
        <x:v> SW10 9EW</x:v>
      </x:c>
      <x:c r="M29" s="60"/>
      <x:c r="N29" s="60" t="str">
        <x:v>SW10 9EW</x:v>
      </x:c>
      <x:c r="O29" s="61"/>
      <x:c r="P29" s="64" t="str">
        <x:f>IF(OR(O29="",I29=""),"",IFERROR(DATEDIF(O29,I29,"m")/12,""))</x:f>
      </x:c>
      <x:c r="Q29" s="60"/>
      <x:c r="R29" s="61"/>
      <x:c r="S29" s="64" t="str">
        <x:f>IF(OR(R29="",X29=""),"",IFERROR(DATEDIF(R29,X29,"m")/12,""))</x:f>
      </x:c>
      <x:c r="T29" s="60"/>
      <x:c r="U29" s="60"/>
      <x:c r="V29" s="60"/>
      <x:c r="W29" s="63"/>
      <x:c r="X29" s="65" t="n">
        <x:f>TODAY()</x:f>
        <x:v>46250</x:v>
      </x:c>
    </x:row>
    <x:row r="30">
      <x:c r="A30" s="59" t="str">
        <x:v>ANGELINI</x:v>
      </x:c>
      <x:c r="B30" s="60" t="str">
        <x:v>NAZZARO</x:v>
      </x:c>
      <x:c r="C30" s="60"/>
      <x:c r="D30" s="61" t="n">
        <x:v>23543.5</x:v>
      </x:c>
      <x:c r="E30" s="62" t="n">
        <x:f>IF(OR(D30="",X30=""),"",IFERROR(DATEDIF(D30,X30,"y"),""))</x:f>
        <x:v>62</x:v>
      </x:c>
      <x:c r="F30" s="60"/>
      <x:c r="G30" s="63"/>
      <x:c r="H30" s="63"/>
      <x:c r="I30" s="61"/>
      <x:c r="J30" s="64" t="str">
        <x:f>IF(OR(I30="",X30=""),"",IFERROR(DATEDIF(I30,X30,"m")/12,""))</x:f>
      </x:c>
      <x:c r="K30" s="60" t="str">
        <x:v>FLAT 7, 288-290 FULHAM ROAD, LONDON, SW10 9EW</x:v>
      </x:c>
      <x:c r="L30" s="60" t="str">
        <x:v> SW10 9EW</x:v>
      </x:c>
      <x:c r="M30" s="60"/>
      <x:c r="N30" s="60" t="str">
        <x:v>SW10 9EW</x:v>
      </x:c>
      <x:c r="O30" s="61"/>
      <x:c r="P30" s="64" t="str">
        <x:f>IF(OR(O30="",I30=""),"",IFERROR(DATEDIF(O30,I30,"m")/12,""))</x:f>
      </x:c>
      <x:c r="Q30" s="60"/>
      <x:c r="R30" s="61"/>
      <x:c r="S30" s="64" t="str">
        <x:f>IF(OR(R30="",X30=""),"",IFERROR(DATEDIF(R30,X30,"m")/12,""))</x:f>
      </x:c>
      <x:c r="T30" s="60"/>
      <x:c r="U30" s="60"/>
      <x:c r="V30" s="60"/>
      <x:c r="W30" s="63"/>
      <x:c r="X30" s="65" t="n">
        <x:f>TODAY()</x:f>
        <x:v>46250</x:v>
      </x:c>
    </x:row>
    <x:row r="31">
      <x:c r="A31" s="59" t="str">
        <x:v>ANNALORO</x:v>
      </x:c>
      <x:c r="B31" s="60" t="str">
        <x:v>ENRICO</x:v>
      </x:c>
      <x:c r="C31" s="60"/>
      <x:c r="D31" s="61" t="n">
        <x:v>34832.5</x:v>
      </x:c>
      <x:c r="E31" s="62" t="n">
        <x:f>IF(OR(D31="",X31=""),"",IFERROR(DATEDIF(D31,X31,"y"),""))</x:f>
        <x:v>31</x:v>
      </x:c>
      <x:c r="F31" s="60"/>
      <x:c r="G31" s="63" t="str">
        <x:v>07857109014</x:v>
      </x:c>
      <x:c r="H31" s="63"/>
      <x:c r="I31" s="61"/>
      <x:c r="J31" s="64" t="str">
        <x:f>IF(OR(I31="",X31=""),"",IFERROR(DATEDIF(I31,X31,"m")/12,""))</x:f>
      </x:c>
      <x:c r="K31" s="60" t="str">
        <x:v>FLAT 202, 30-31 PHILBEACH GARDENS, LONDON, SW5 9EB</x:v>
      </x:c>
      <x:c r="L31" s="60" t="str">
        <x:v> SW5 9EB</x:v>
      </x:c>
      <x:c r="M31" s="60"/>
      <x:c r="N31" s="60" t="str">
        <x:v>SW5 9EB</x:v>
      </x:c>
      <x:c r="O31" s="61"/>
      <x:c r="P31" s="64" t="str">
        <x:f>IF(OR(O31="",I31=""),"",IFERROR(DATEDIF(O31,I31,"m")/12,""))</x:f>
      </x:c>
      <x:c r="Q31" s="60"/>
      <x:c r="R31" s="61"/>
      <x:c r="S31" s="64" t="str">
        <x:f>IF(OR(R31="",X31=""),"",IFERROR(DATEDIF(R31,X31,"m")/12,""))</x:f>
      </x:c>
      <x:c r="T31" s="60"/>
      <x:c r="U31" s="60"/>
      <x:c r="V31" s="60"/>
      <x:c r="W31" s="63"/>
      <x:c r="X31" s="65" t="n">
        <x:f>TODAY()</x:f>
        <x:v>46250</x:v>
      </x:c>
    </x:row>
    <x:row r="32">
      <x:c r="A32" s="59" t="str">
        <x:v>ANNALORO</x:v>
      </x:c>
      <x:c r="B32" s="60" t="str">
        <x:v>ENRICO</x:v>
      </x:c>
      <x:c r="C32" s="60"/>
      <x:c r="D32" s="61" t="n">
        <x:v>34832.5</x:v>
      </x:c>
      <x:c r="E32" s="62" t="n">
        <x:f>IF(OR(D32="",X32=""),"",IFERROR(DATEDIF(D32,X32,"y"),""))</x:f>
        <x:v>31</x:v>
      </x:c>
      <x:c r="F32" s="60"/>
      <x:c r="G32" s="63" t="str">
        <x:v>07857109014</x:v>
      </x:c>
      <x:c r="H32" s="63"/>
      <x:c r="I32" s="61"/>
      <x:c r="J32" s="64" t="str">
        <x:f>IF(OR(I32="",X32=""),"",IFERROR(DATEDIF(I32,X32,"m")/12,""))</x:f>
      </x:c>
      <x:c r="K32" s="60" t="str">
        <x:v>FLAT 202, 30-31 PHILBEACH GARDENS, LONDON, SW5 9EB</x:v>
      </x:c>
      <x:c r="L32" s="60" t="str">
        <x:v> SW5 9EB</x:v>
      </x:c>
      <x:c r="M32" s="60"/>
      <x:c r="N32" s="60" t="str">
        <x:v>SW5 9EB</x:v>
      </x:c>
      <x:c r="O32" s="61"/>
      <x:c r="P32" s="64" t="str">
        <x:f>IF(OR(O32="",I32=""),"",IFERROR(DATEDIF(O32,I32,"m")/12,""))</x:f>
      </x:c>
      <x:c r="Q32" s="60"/>
      <x:c r="R32" s="61"/>
      <x:c r="S32" s="64" t="str">
        <x:f>IF(OR(R32="",X32=""),"",IFERROR(DATEDIF(R32,X32,"m")/12,""))</x:f>
      </x:c>
      <x:c r="T32" s="60"/>
      <x:c r="U32" s="60"/>
      <x:c r="V32" s="60"/>
      <x:c r="W32" s="63"/>
      <x:c r="X32" s="65" t="n">
        <x:f>TODAY()</x:f>
        <x:v>46250</x:v>
      </x:c>
    </x:row>
    <x:row r="33">
      <x:c r="A33" s="59" t="str">
        <x:v>ANSGARIUSSON</x:v>
      </x:c>
      <x:c r="B33" s="60" t="str">
        <x:v>OLIVIA</x:v>
      </x:c>
      <x:c r="C33" s="60" t="str">
        <x:v>WILMA</x:v>
      </x:c>
      <x:c r="D33" s="61" t="n">
        <x:v>33820.5</x:v>
      </x:c>
      <x:c r="E33" s="62" t="n">
        <x:f>IF(OR(D33="",X33=""),"",IFERROR(DATEDIF(D33,X33,"y"),""))</x:f>
        <x:v>34</x:v>
      </x:c>
      <x:c r="F33" s="60" t="str">
        <x:v>LARSSON</x:v>
      </x:c>
      <x:c r="G33" s="63" t="str">
        <x:v>07515819350</x:v>
      </x:c>
      <x:c r="H33" s="63"/>
      <x:c r="I33" s="61" t="n">
        <x:v>44256.5</x:v>
      </x:c>
      <x:c r="J33" s="64" t="n">
        <x:f>IF(OR(I33="",X33=""),"",IFERROR(DATEDIF(I33,X33,"m")/12,""))</x:f>
        <x:v>5.416666666666667</x:v>
      </x:c>
      <x:c r="K33" s="60" t="str">
        <x:v>75 SHIELDFIELD HOUSE, 2-4 BARKER STREET, LONDON, SW10 9EN</x:v>
      </x:c>
      <x:c r="L33" s="60" t="str">
        <x:v> SW10 9EN</x:v>
      </x:c>
      <x:c r="M33" s="60"/>
      <x:c r="N33" s="60" t="str">
        <x:v>SW10 9EN</x:v>
      </x:c>
      <x:c r="O33" s="61" t="n">
        <x:v>43344.5</x:v>
      </x:c>
      <x:c r="P33" s="64" t="n">
        <x:f>IF(OR(O33="",I33=""),"",IFERROR(DATEDIF(O33,I33,"m")/12,""))</x:f>
        <x:v>2.5</x:v>
      </x:c>
      <x:c r="Q33" s="60" t="str">
        <x:v>FLAT 18, CROYDON HOUSE, WOOTTON STREET, LONDON, SE1 8TS</x:v>
      </x:c>
      <x:c r="R33" s="61" t="n">
        <x:v>44440.5</x:v>
      </x:c>
      <x:c r="S33" s="64" t="n">
        <x:f>IF(OR(R33="",X33=""),"",IFERROR(DATEDIF(R33,X33,"m")/12,""))</x:f>
        <x:v>4.916666666666667</x:v>
      </x:c>
      <x:c r="T33" s="60" t="str">
        <x:v>BRAND MANAGER</x:v>
      </x:c>
      <x:c r="U33" s="60" t="str">
        <x:v>NEWELL BRANS</x:v>
      </x:c>
      <x:c r="V33" s="60"/>
      <x:c r="W33" s="63"/>
      <x:c r="X33" s="65" t="n">
        <x:f>TODAY()</x:f>
        <x:v>46250</x:v>
      </x:c>
    </x:row>
    <x:row r="34">
      <x:c r="A34" s="59" t="str">
        <x:v>ANSGARIUSSON</x:v>
      </x:c>
      <x:c r="B34" s="60" t="str">
        <x:v>OLIVIA</x:v>
      </x:c>
      <x:c r="C34" s="60" t="str">
        <x:v>WILMA</x:v>
      </x:c>
      <x:c r="D34" s="61" t="n">
        <x:v>33820.5</x:v>
      </x:c>
      <x:c r="E34" s="62" t="n">
        <x:f>IF(OR(D34="",X34=""),"",IFERROR(DATEDIF(D34,X34,"y"),""))</x:f>
        <x:v>34</x:v>
      </x:c>
      <x:c r="F34" s="60" t="str">
        <x:v>LARSSON</x:v>
      </x:c>
      <x:c r="G34" s="63" t="str">
        <x:v>07515819350</x:v>
      </x:c>
      <x:c r="H34" s="63"/>
      <x:c r="I34" s="61" t="n">
        <x:v>44256.5</x:v>
      </x:c>
      <x:c r="J34" s="64" t="n">
        <x:f>IF(OR(I34="",X34=""),"",IFERROR(DATEDIF(I34,X34,"m")/12,""))</x:f>
        <x:v>5.416666666666667</x:v>
      </x:c>
      <x:c r="K34" s="60" t="str">
        <x:v>76 SHIELDFIELD HOUSE, 2-4 BARKER STREET, LONDON, SW10 9EN</x:v>
      </x:c>
      <x:c r="L34" s="60" t="str">
        <x:v> SW10 9EN</x:v>
      </x:c>
      <x:c r="M34" s="60"/>
      <x:c r="N34" s="60" t="str">
        <x:v>SW10 9EN</x:v>
      </x:c>
      <x:c r="O34" s="61" t="n">
        <x:v>43344.5</x:v>
      </x:c>
      <x:c r="P34" s="64" t="n">
        <x:f>IF(OR(O34="",I34=""),"",IFERROR(DATEDIF(O34,I34,"m")/12,""))</x:f>
        <x:v>2.5</x:v>
      </x:c>
      <x:c r="Q34" s="60" t="str">
        <x:v>FLAT 18, CROYDON HOUSE, WOOTTON STREET, LONDON, SE1 8TS</x:v>
      </x:c>
      <x:c r="R34" s="61" t="n">
        <x:v>44440.5</x:v>
      </x:c>
      <x:c r="S34" s="64" t="n">
        <x:f>IF(OR(R34="",X34=""),"",IFERROR(DATEDIF(R34,X34,"m")/12,""))</x:f>
        <x:v>4.916666666666667</x:v>
      </x:c>
      <x:c r="T34" s="60" t="str">
        <x:v>BRAND MANAGER</x:v>
      </x:c>
      <x:c r="U34" s="60" t="str">
        <x:v>NEWELL BRANS</x:v>
      </x:c>
      <x:c r="V34" s="60"/>
      <x:c r="W34" s="63"/>
      <x:c r="X34" s="65" t="n">
        <x:f>TODAY()</x:f>
        <x:v>46250</x:v>
      </x:c>
    </x:row>
    <x:row r="35">
      <x:c r="A35" s="59" t="str">
        <x:v>ANTENUCCI</x:v>
      </x:c>
      <x:c r="B35" s="60" t="str">
        <x:v>ELENA</x:v>
      </x:c>
      <x:c r="C35" s="60"/>
      <x:c r="D35" s="61" t="n">
        <x:v>34619.5</x:v>
      </x:c>
      <x:c r="E35" s="62" t="n">
        <x:f>IF(OR(D35="",X35=""),"",IFERROR(DATEDIF(D35,X35,"y"),""))</x:f>
        <x:v>31</x:v>
      </x:c>
      <x:c r="F35" s="60" t="str">
        <x:v>RUSSO</x:v>
      </x:c>
      <x:c r="G35" s="63" t="str">
        <x:v>07943795349</x:v>
      </x:c>
      <x:c r="H35" s="63"/>
      <x:c r="I35" s="61"/>
      <x:c r="J35" s="64" t="str">
        <x:f>IF(OR(I35="",X35=""),"",IFERROR(DATEDIF(I35,X35,"m")/12,""))</x:f>
      </x:c>
      <x:c r="K35" s="60" t="str">
        <x:v>FLAT 6, 419 NORTH END ROAD LONDON, SW6 1NY</x:v>
      </x:c>
      <x:c r="L35" s="60" t="str">
        <x:v> SW6 1NY</x:v>
      </x:c>
      <x:c r="M35" s="60"/>
      <x:c r="N35" s="60" t="str">
        <x:v>SW6 1NY</x:v>
      </x:c>
      <x:c r="O35" s="61"/>
      <x:c r="P35" s="64" t="str">
        <x:f>IF(OR(O35="",I35=""),"",IFERROR(DATEDIF(O35,I35,"m")/12,""))</x:f>
      </x:c>
      <x:c r="Q35" s="60"/>
      <x:c r="R35" s="61"/>
      <x:c r="S35" s="64" t="str">
        <x:f>IF(OR(R35="",X35=""),"",IFERROR(DATEDIF(R35,X35,"m")/12,""))</x:f>
      </x:c>
      <x:c r="T35" s="60"/>
      <x:c r="U35" s="60"/>
      <x:c r="V35" s="60"/>
      <x:c r="W35" s="63"/>
      <x:c r="X35" s="65" t="n">
        <x:f>TODAY()</x:f>
        <x:v>46250</x:v>
      </x:c>
    </x:row>
    <x:row r="36">
      <x:c r="A36" s="59" t="str">
        <x:v>ANTENUCCI</x:v>
      </x:c>
      <x:c r="B36" s="60" t="str">
        <x:v>ELENA</x:v>
      </x:c>
      <x:c r="C36" s="60"/>
      <x:c r="D36" s="61" t="n">
        <x:v>34619.5</x:v>
      </x:c>
      <x:c r="E36" s="62" t="n">
        <x:f>IF(OR(D36="",X36=""),"",IFERROR(DATEDIF(D36,X36,"y"),""))</x:f>
        <x:v>31</x:v>
      </x:c>
      <x:c r="F36" s="60" t="str">
        <x:v>RUSSO</x:v>
      </x:c>
      <x:c r="G36" s="63" t="str">
        <x:v>07943795349</x:v>
      </x:c>
      <x:c r="H36" s="63"/>
      <x:c r="I36" s="61"/>
      <x:c r="J36" s="64" t="str">
        <x:f>IF(OR(I36="",X36=""),"",IFERROR(DATEDIF(I36,X36,"m")/12,""))</x:f>
      </x:c>
      <x:c r="K36" s="60" t="str">
        <x:v>FLAT 6, 419 NORTH END ROAD LONDON, SW6 1NY</x:v>
      </x:c>
      <x:c r="L36" s="60" t="str">
        <x:v> SW6 1NY</x:v>
      </x:c>
      <x:c r="M36" s="60"/>
      <x:c r="N36" s="60" t="str">
        <x:v>SW6 1NY</x:v>
      </x:c>
      <x:c r="O36" s="61"/>
      <x:c r="P36" s="64" t="str">
        <x:f>IF(OR(O36="",I36=""),"",IFERROR(DATEDIF(O36,I36,"m")/12,""))</x:f>
      </x:c>
      <x:c r="Q36" s="60"/>
      <x:c r="R36" s="61"/>
      <x:c r="S36" s="64" t="str">
        <x:f>IF(OR(R36="",X36=""),"",IFERROR(DATEDIF(R36,X36,"m")/12,""))</x:f>
      </x:c>
      <x:c r="T36" s="60"/>
      <x:c r="U36" s="60"/>
      <x:c r="V36" s="60"/>
      <x:c r="W36" s="63"/>
      <x:c r="X36" s="65" t="n">
        <x:f>TODAY()</x:f>
        <x:v>46250</x:v>
      </x:c>
    </x:row>
    <x:row r="37">
      <x:c r="A37" s="59" t="str">
        <x:v>ANTUNA-ORTEGA</x:v>
      </x:c>
      <x:c r="B37" s="60" t="str">
        <x:v>LAURA</x:v>
      </x:c>
      <x:c r="C37" s="60"/>
      <x:c r="D37" s="61" t="n">
        <x:v>35024.5</x:v>
      </x:c>
      <x:c r="E37" s="62" t="n">
        <x:f>IF(OR(D37="",X37=""),"",IFERROR(DATEDIF(D37,X37,"y"),""))</x:f>
        <x:v>30</x:v>
      </x:c>
      <x:c r="F37" s="60" t="str">
        <x:v>ANTUNA</x:v>
      </x:c>
      <x:c r="G37" s="63"/>
      <x:c r="H37" s="63"/>
      <x:c r="I37" s="61"/>
      <x:c r="J37" s="64" t="str">
        <x:f>IF(OR(I37="",X37=""),"",IFERROR(DATEDIF(I37,X37,"m")/12,""))</x:f>
      </x:c>
      <x:c r="K37" s="60" t="str">
        <x:v>FLAT 8, 39, DRAYCOTT PLACE, LONDON, SW3 2SH</x:v>
      </x:c>
      <x:c r="L37" s="60" t="str">
        <x:v> SW3 2SH</x:v>
      </x:c>
      <x:c r="M37" s="60"/>
      <x:c r="N37" s="60" t="str">
        <x:v>SW3 2SH</x:v>
      </x:c>
      <x:c r="O37" s="61"/>
      <x:c r="P37" s="64" t="str">
        <x:f>IF(OR(O37="",I37=""),"",IFERROR(DATEDIF(O37,I37,"m")/12,""))</x:f>
      </x:c>
      <x:c r="Q37" s="60"/>
      <x:c r="R37" s="61"/>
      <x:c r="S37" s="64" t="str">
        <x:f>IF(OR(R37="",X37=""),"",IFERROR(DATEDIF(R37,X37,"m")/12,""))</x:f>
      </x:c>
      <x:c r="T37" s="60"/>
      <x:c r="U37" s="60"/>
      <x:c r="V37" s="60"/>
      <x:c r="W37" s="63"/>
      <x:c r="X37" s="65" t="n">
        <x:f>TODAY()</x:f>
        <x:v>46250</x:v>
      </x:c>
    </x:row>
    <x:row r="38">
      <x:c r="A38" s="59" t="str">
        <x:v>ANTUNA-ORTEGA</x:v>
      </x:c>
      <x:c r="B38" s="60" t="str">
        <x:v>LAURA</x:v>
      </x:c>
      <x:c r="C38" s="60"/>
      <x:c r="D38" s="61" t="n">
        <x:v>35024.5</x:v>
      </x:c>
      <x:c r="E38" s="62" t="n">
        <x:f>IF(OR(D38="",X38=""),"",IFERROR(DATEDIF(D38,X38,"y"),""))</x:f>
        <x:v>30</x:v>
      </x:c>
      <x:c r="F38" s="60" t="str">
        <x:v>ANTUNA</x:v>
      </x:c>
      <x:c r="G38" s="63"/>
      <x:c r="H38" s="63"/>
      <x:c r="I38" s="61"/>
      <x:c r="J38" s="64" t="str">
        <x:f>IF(OR(I38="",X38=""),"",IFERROR(DATEDIF(I38,X38,"m")/12,""))</x:f>
      </x:c>
      <x:c r="K38" s="60" t="str">
        <x:v>FLAT 8, 39, DRAYCOTT PLACE, LONDON, SW3 2SH</x:v>
      </x:c>
      <x:c r="L38" s="60" t="str">
        <x:v> SW3 2SH</x:v>
      </x:c>
      <x:c r="M38" s="60"/>
      <x:c r="N38" s="60" t="str">
        <x:v>SW3 2SH</x:v>
      </x:c>
      <x:c r="O38" s="61"/>
      <x:c r="P38" s="64" t="str">
        <x:f>IF(OR(O38="",I38=""),"",IFERROR(DATEDIF(O38,I38,"m")/12,""))</x:f>
      </x:c>
      <x:c r="Q38" s="60"/>
      <x:c r="R38" s="61"/>
      <x:c r="S38" s="64" t="str">
        <x:f>IF(OR(R38="",X38=""),"",IFERROR(DATEDIF(R38,X38,"m")/12,""))</x:f>
      </x:c>
      <x:c r="T38" s="60"/>
      <x:c r="U38" s="60"/>
      <x:c r="V38" s="60"/>
      <x:c r="W38" s="63"/>
      <x:c r="X38" s="65" t="n">
        <x:f>TODAY()</x:f>
        <x:v>46250</x:v>
      </x:c>
    </x:row>
    <x:row r="39">
      <x:c r="A39" s="59" t="str">
        <x:v>ARAMAN</x:v>
      </x:c>
      <x:c r="B39" s="60" t="str">
        <x:v>KARIN</x:v>
      </x:c>
      <x:c r="C39" s="60"/>
      <x:c r="D39" s="61" t="n">
        <x:v>32204.5</x:v>
      </x:c>
      <x:c r="E39" s="62" t="n">
        <x:f>IF(OR(D39="",X39=""),"",IFERROR(DATEDIF(D39,X39,"y"),""))</x:f>
        <x:v>38</x:v>
      </x:c>
      <x:c r="F39" s="60"/>
      <x:c r="G39" s="63" t="str">
        <x:v>07497102318</x:v>
      </x:c>
      <x:c r="H39" s="63"/>
      <x:c r="I39" s="61" t="n">
        <x:v>43831.5</x:v>
      </x:c>
      <x:c r="J39" s="64" t="n">
        <x:f>IF(OR(I39="",X39=""),"",IFERROR(DATEDIF(I39,X39,"m")/12,""))</x:f>
        <x:v>6.583333333333333</x:v>
      </x:c>
      <x:c r="K39" s="60" t="str">
        <x:v>FLAT 101 30-31 PHILBEACH, GARDENS, LONDON, SW5 9EB</x:v>
      </x:c>
      <x:c r="L39" s="60" t="str">
        <x:v> SW5 9EB</x:v>
      </x:c>
      <x:c r="M39" s="60"/>
      <x:c r="N39" s="60" t="str">
        <x:v>SW5 9EB</x:v>
      </x:c>
      <x:c r="O39" s="61"/>
      <x:c r="P39" s="64" t="str">
        <x:f>IF(OR(O39="",I39=""),"",IFERROR(DATEDIF(O39,I39,"m")/12,""))</x:f>
      </x:c>
      <x:c r="Q39" s="60" t="str">
        <x:v>`</x:v>
      </x:c>
      <x:c r="R39" s="61"/>
      <x:c r="S39" s="64" t="str">
        <x:f>IF(OR(R39="",X39=""),"",IFERROR(DATEDIF(R39,X39,"m")/12,""))</x:f>
      </x:c>
      <x:c r="T39" s="60"/>
      <x:c r="U39" s="60"/>
      <x:c r="V39" s="60"/>
      <x:c r="W39" s="63"/>
      <x:c r="X39" s="65" t="n">
        <x:f>TODAY()</x:f>
        <x:v>46250</x:v>
      </x:c>
    </x:row>
    <x:row r="40">
      <x:c r="A40" s="59" t="str">
        <x:v>ARAMAN</x:v>
      </x:c>
      <x:c r="B40" s="60" t="str">
        <x:v>KARIN</x:v>
      </x:c>
      <x:c r="C40" s="60"/>
      <x:c r="D40" s="61" t="n">
        <x:v>32204.5</x:v>
      </x:c>
      <x:c r="E40" s="62" t="n">
        <x:f>IF(OR(D40="",X40=""),"",IFERROR(DATEDIF(D40,X40,"y"),""))</x:f>
        <x:v>38</x:v>
      </x:c>
      <x:c r="F40" s="60"/>
      <x:c r="G40" s="63" t="str">
        <x:v>07497102318</x:v>
      </x:c>
      <x:c r="H40" s="63"/>
      <x:c r="I40" s="61" t="n">
        <x:v>43831.5</x:v>
      </x:c>
      <x:c r="J40" s="64" t="n">
        <x:f>IF(OR(I40="",X40=""),"",IFERROR(DATEDIF(I40,X40,"m")/12,""))</x:f>
        <x:v>6.583333333333333</x:v>
      </x:c>
      <x:c r="K40" s="60" t="str">
        <x:v>FLAT 101 30-31 PHILBEACH, GARDENS, LONDON, SW5 9EB</x:v>
      </x:c>
      <x:c r="L40" s="60" t="str">
        <x:v> SW5 9EB</x:v>
      </x:c>
      <x:c r="M40" s="60"/>
      <x:c r="N40" s="60" t="str">
        <x:v>SW5 9EB</x:v>
      </x:c>
      <x:c r="O40" s="61"/>
      <x:c r="P40" s="64" t="str">
        <x:f>IF(OR(O40="",I40=""),"",IFERROR(DATEDIF(O40,I40,"m")/12,""))</x:f>
      </x:c>
      <x:c r="Q40" s="60" t="str">
        <x:v>`</x:v>
      </x:c>
      <x:c r="R40" s="61"/>
      <x:c r="S40" s="64" t="str">
        <x:f>IF(OR(R40="",X40=""),"",IFERROR(DATEDIF(R40,X40,"m")/12,""))</x:f>
      </x:c>
      <x:c r="T40" s="60"/>
      <x:c r="U40" s="60"/>
      <x:c r="V40" s="60"/>
      <x:c r="W40" s="63"/>
      <x:c r="X40" s="65" t="n">
        <x:f>TODAY()</x:f>
        <x:v>46250</x:v>
      </x:c>
    </x:row>
    <x:row r="41">
      <x:c r="A41" s="59" t="str">
        <x:v>ASCANI</x:v>
      </x:c>
      <x:c r="B41" s="60" t="str">
        <x:v>AGOSTINO</x:v>
      </x:c>
      <x:c r="C41" s="60"/>
      <x:c r="D41" s="61" t="n">
        <x:v>24492.5</x:v>
      </x:c>
      <x:c r="E41" s="62" t="n">
        <x:f>IF(OR(D41="",X41=""),"",IFERROR(DATEDIF(D41,X41,"y"),""))</x:f>
        <x:v>59</x:v>
      </x:c>
      <x:c r="F41" s="60" t="str">
        <x:v>ASCANI</x:v>
      </x:c>
      <x:c r="G41" s="63" t="str">
        <x:v>07553214242</x:v>
      </x:c>
      <x:c r="H41" s="63"/>
      <x:c r="I41" s="61" t="n">
        <x:v>38412.5</x:v>
      </x:c>
      <x:c r="J41" s="64" t="n">
        <x:f>IF(OR(I41="",X41=""),"",IFERROR(DATEDIF(I41,X41,"m")/12,""))</x:f>
        <x:v>21.416666666666668</x:v>
      </x:c>
      <x:c r="K41" s="60" t="str">
        <x:v>FLAT 12, 18 COLINGHAM GARDENS, LONDON, SW5 0HS</x:v>
      </x:c>
      <x:c r="L41" s="60" t="str">
        <x:v> SW5 0HS</x:v>
      </x:c>
      <x:c r="M41" s="60"/>
      <x:c r="N41" s="60"/>
      <x:c r="O41" s="61"/>
      <x:c r="P41" s="64" t="str">
        <x:f>IF(OR(O41="",I41=""),"",IFERROR(DATEDIF(O41,I41,"m")/12,""))</x:f>
      </x:c>
      <x:c r="Q41" s="60"/>
      <x:c r="R41" s="61"/>
      <x:c r="S41" s="64" t="str">
        <x:f>IF(OR(R41="",X41=""),"",IFERROR(DATEDIF(R41,X41,"m")/12,""))</x:f>
      </x:c>
      <x:c r="T41" s="60"/>
      <x:c r="U41" s="60"/>
      <x:c r="V41" s="60"/>
      <x:c r="W41" s="63"/>
      <x:c r="X41" s="65" t="n">
        <x:f>TODAY()</x:f>
        <x:v>46250</x:v>
      </x:c>
    </x:row>
    <x:row r="42">
      <x:c r="A42" s="59" t="str">
        <x:v>ASCANI</x:v>
      </x:c>
      <x:c r="B42" s="60" t="str">
        <x:v>AGOSTINO</x:v>
      </x:c>
      <x:c r="C42" s="60"/>
      <x:c r="D42" s="61" t="n">
        <x:v>24492.5</x:v>
      </x:c>
      <x:c r="E42" s="62" t="n">
        <x:f>IF(OR(D42="",X42=""),"",IFERROR(DATEDIF(D42,X42,"y"),""))</x:f>
        <x:v>59</x:v>
      </x:c>
      <x:c r="F42" s="60" t="str">
        <x:v>ASCANI</x:v>
      </x:c>
      <x:c r="G42" s="63" t="str">
        <x:v>07553214242</x:v>
      </x:c>
      <x:c r="H42" s="63"/>
      <x:c r="I42" s="61" t="n">
        <x:v>38412.5</x:v>
      </x:c>
      <x:c r="J42" s="64" t="n">
        <x:f>IF(OR(I42="",X42=""),"",IFERROR(DATEDIF(I42,X42,"m")/12,""))</x:f>
        <x:v>21.416666666666668</x:v>
      </x:c>
      <x:c r="K42" s="60" t="str">
        <x:v>FLAT 12, 18 COLINGHAM GARDENS, LONDON, SW5 0HS</x:v>
      </x:c>
      <x:c r="L42" s="60" t="str">
        <x:v> SW5 0HS</x:v>
      </x:c>
      <x:c r="M42" s="60"/>
      <x:c r="N42" s="60"/>
      <x:c r="O42" s="61"/>
      <x:c r="P42" s="64" t="str">
        <x:f>IF(OR(O42="",I42=""),"",IFERROR(DATEDIF(O42,I42,"m")/12,""))</x:f>
      </x:c>
      <x:c r="Q42" s="60"/>
      <x:c r="R42" s="61"/>
      <x:c r="S42" s="64" t="str">
        <x:f>IF(OR(R42="",X42=""),"",IFERROR(DATEDIF(R42,X42,"m")/12,""))</x:f>
      </x:c>
      <x:c r="T42" s="60"/>
      <x:c r="U42" s="60"/>
      <x:c r="V42" s="60"/>
      <x:c r="W42" s="63"/>
      <x:c r="X42" s="65" t="n">
        <x:f>TODAY()</x:f>
        <x:v>46250</x:v>
      </x:c>
    </x:row>
    <x:row r="43">
      <x:c r="A43" s="59" t="str">
        <x:v>ASENA</x:v>
      </x:c>
      <x:c r="B43" s="60" t="str">
        <x:v>MEHMET</x:v>
      </x:c>
      <x:c r="C43" s="60" t="str">
        <x:v>SINAN</x:v>
      </x:c>
      <x:c r="D43" s="61" t="n">
        <x:v>34870.5</x:v>
      </x:c>
      <x:c r="E43" s="62" t="n">
        <x:f>IF(OR(D43="",X43=""),"",IFERROR(DATEDIF(D43,X43,"y"),""))</x:f>
        <x:v>31</x:v>
      </x:c>
      <x:c r="F43" s="60" t="str">
        <x:v>ASENA</x:v>
      </x:c>
      <x:c r="G43" s="63" t="str">
        <x:v>07950884839</x:v>
      </x:c>
      <x:c r="H43" s="63"/>
      <x:c r="I43" s="61" t="n">
        <x:v>42948.5</x:v>
      </x:c>
      <x:c r="J43" s="64" t="n">
        <x:f>IF(OR(I43="",X43=""),"",IFERROR(DATEDIF(I43,X43,"m")/12,""))</x:f>
        <x:v>9</x:v>
      </x:c>
      <x:c r="K43" s="60" t="str">
        <x:v>FLAT 2, 270-272 FULHAM ROAD, LONDON, SW109EW</x:v>
      </x:c>
      <x:c r="L43" s="60" t="str">
        <x:v> SW109EW</x:v>
      </x:c>
      <x:c r="M43" s="60"/>
      <x:c r="N43" s="60" t="str">
        <x:v>SW109EW</x:v>
      </x:c>
      <x:c r="O43" s="61"/>
      <x:c r="P43" s="64" t="str">
        <x:f>IF(OR(O43="",I43=""),"",IFERROR(DATEDIF(O43,I43,"m")/12,""))</x:f>
      </x:c>
      <x:c r="Q43" s="60" t="n">
        <x:v>0</x:v>
      </x:c>
      <x:c r="R43" s="61" t="n">
        <x:v>43497.5</x:v>
      </x:c>
      <x:c r="S43" s="64" t="n">
        <x:f>IF(OR(R43="",X43=""),"",IFERROR(DATEDIF(R43,X43,"m")/12,""))</x:f>
        <x:v>7.5</x:v>
      </x:c>
      <x:c r="T43" s="60" t="str">
        <x:v>DATA ANALYST</x:v>
      </x:c>
      <x:c r="U43" s="60" t="str">
        <x:v>BEKO PLC</x:v>
      </x:c>
      <x:c r="V43" s="60" t="str">
        <x:v>BEKO HOUSE 1 GREENHILL CRESCENT, WATFORD, WD18 8QU</x:v>
      </x:c>
      <x:c r="W43" s="63"/>
      <x:c r="X43" s="65" t="n">
        <x:f>TODAY()</x:f>
        <x:v>46250</x:v>
      </x:c>
    </x:row>
    <x:row r="44">
      <x:c r="A44" s="59" t="str">
        <x:v>ASENA</x:v>
      </x:c>
      <x:c r="B44" s="60" t="str">
        <x:v>MEHMET</x:v>
      </x:c>
      <x:c r="C44" s="60" t="str">
        <x:v>SINAN</x:v>
      </x:c>
      <x:c r="D44" s="61" t="n">
        <x:v>34870.5</x:v>
      </x:c>
      <x:c r="E44" s="62" t="n">
        <x:f>IF(OR(D44="",X44=""),"",IFERROR(DATEDIF(D44,X44,"y"),""))</x:f>
        <x:v>31</x:v>
      </x:c>
      <x:c r="F44" s="60" t="str">
        <x:v>ASENA</x:v>
      </x:c>
      <x:c r="G44" s="63" t="str">
        <x:v>07950884839</x:v>
      </x:c>
      <x:c r="H44" s="63"/>
      <x:c r="I44" s="61" t="n">
        <x:v>42948.5</x:v>
      </x:c>
      <x:c r="J44" s="64" t="n">
        <x:f>IF(OR(I44="",X44=""),"",IFERROR(DATEDIF(I44,X44,"m")/12,""))</x:f>
        <x:v>9</x:v>
      </x:c>
      <x:c r="K44" s="60" t="str">
        <x:v>FLAT 2, 270-272 FULHAM ROAD, LONDON, SW109EW</x:v>
      </x:c>
      <x:c r="L44" s="60" t="str">
        <x:v> SW109EW</x:v>
      </x:c>
      <x:c r="M44" s="60"/>
      <x:c r="N44" s="60" t="str">
        <x:v>SW109EW</x:v>
      </x:c>
      <x:c r="O44" s="61"/>
      <x:c r="P44" s="64" t="str">
        <x:f>IF(OR(O44="",I44=""),"",IFERROR(DATEDIF(O44,I44,"m")/12,""))</x:f>
      </x:c>
      <x:c r="Q44" s="60" t="n">
        <x:v>1</x:v>
      </x:c>
      <x:c r="R44" s="61" t="n">
        <x:v>43497.5</x:v>
      </x:c>
      <x:c r="S44" s="64" t="n">
        <x:f>IF(OR(R44="",X44=""),"",IFERROR(DATEDIF(R44,X44,"m")/12,""))</x:f>
        <x:v>7.5</x:v>
      </x:c>
      <x:c r="T44" s="60" t="str">
        <x:v>DATA ANALYST</x:v>
      </x:c>
      <x:c r="U44" s="60" t="str">
        <x:v>BEKO PLC</x:v>
      </x:c>
      <x:c r="V44" s="60" t="str">
        <x:v>BEKO HOUSE 1 GREENHILL CRESCENT, WATFORD, WD18 8QU</x:v>
      </x:c>
      <x:c r="W44" s="63"/>
      <x:c r="X44" s="65" t="n">
        <x:f>TODAY()</x:f>
        <x:v>46250</x:v>
      </x:c>
    </x:row>
    <x:row r="45">
      <x:c r="A45" s="59" t="str">
        <x:v>ASSUMPCAO GUIMARAES</x:v>
      </x:c>
      <x:c r="B45" s="60" t="str">
        <x:v>BERNARDO</x:v>
      </x:c>
      <x:c r="C45" s="60" t="str">
        <x:v>DAMELE</x:v>
      </x:c>
      <x:c r="D45" s="61" t="n">
        <x:v>30657.5</x:v>
      </x:c>
      <x:c r="E45" s="62" t="n">
        <x:f>IF(OR(D45="",X45=""),"",IFERROR(DATEDIF(D45,X45,"y"),""))</x:f>
        <x:v>42</x:v>
      </x:c>
      <x:c r="F45" s="60" t="str">
        <x:v>ASSUMPCAO</x:v>
      </x:c>
      <x:c r="G45" s="63" t="str">
        <x:v>07506115024</x:v>
      </x:c>
      <x:c r="H45" s="63"/>
      <x:c r="I45" s="61" t="n">
        <x:v>44470.5</x:v>
      </x:c>
      <x:c r="J45" s="64" t="n">
        <x:f>IF(OR(I45="",X45=""),"",IFERROR(DATEDIF(I45,X45,"m")/12,""))</x:f>
        <x:v>4.833333333333333</x:v>
      </x:c>
      <x:c r="K45" s="60" t="str">
        <x:v>FLAT 5, 59 BONDWAY, LONDON, SW8 1SJ</x:v>
      </x:c>
      <x:c r="L45" s="60" t="str">
        <x:v> SW8 1SJ</x:v>
      </x:c>
      <x:c r="M45" s="60"/>
      <x:c r="N45" s="60" t="str">
        <x:v>SW8 1SJ</x:v>
      </x:c>
      <x:c r="O45" s="61" t="n">
        <x:v>43374.5</x:v>
      </x:c>
      <x:c r="P45" s="64" t="n">
        <x:f>IF(OR(O45="",I45=""),"",IFERROR(DATEDIF(O45,I45,"m")/12,""))</x:f>
        <x:v>3</x:v>
      </x:c>
      <x:c r="Q45" s="60" t="str">
        <x:v>FLAT 9, 216 KENNINGTON ROAD, LONDON SE11 6HR</x:v>
      </x:c>
      <x:c r="R45" s="61" t="n">
        <x:v>44105.5</x:v>
      </x:c>
      <x:c r="S45" s="64" t="n">
        <x:f>IF(OR(R45="",X45=""),"",IFERROR(DATEDIF(R45,X45,"m")/12,""))</x:f>
        <x:v>5.833333333333333</x:v>
      </x:c>
      <x:c r="T45" s="60" t="str">
        <x:v>MANAGER</x:v>
      </x:c>
      <x:c r="U45" s="60" t="str">
        <x:v>NCC GROUP</x:v>
      </x:c>
      <x:c r="V45" s="60" t="str">
        <x:v>105 VICTORIA STREET, LONDON, SW1E 6QT</x:v>
      </x:c>
      <x:c r="W45" s="63" t="str">
        <x:v>0161 209 5200</x:v>
      </x:c>
      <x:c r="X45" s="65" t="n">
        <x:f>TODAY()</x:f>
        <x:v>46250</x:v>
      </x:c>
    </x:row>
    <x:row r="46">
      <x:c r="A46" s="59" t="str">
        <x:v>ASSUMPCAO GUIMARAES</x:v>
      </x:c>
      <x:c r="B46" s="60" t="str">
        <x:v>BERNARDO</x:v>
      </x:c>
      <x:c r="C46" s="60" t="str">
        <x:v>DAMELE</x:v>
      </x:c>
      <x:c r="D46" s="61" t="n">
        <x:v>30657.5</x:v>
      </x:c>
      <x:c r="E46" s="62" t="n">
        <x:f>IF(OR(D46="",X46=""),"",IFERROR(DATEDIF(D46,X46,"y"),""))</x:f>
        <x:v>42</x:v>
      </x:c>
      <x:c r="F46" s="60" t="str">
        <x:v>ASSUMPCAO</x:v>
      </x:c>
      <x:c r="G46" s="63" t="str">
        <x:v>07506115024</x:v>
      </x:c>
      <x:c r="H46" s="63"/>
      <x:c r="I46" s="61" t="n">
        <x:v>44470.5</x:v>
      </x:c>
      <x:c r="J46" s="64" t="n">
        <x:f>IF(OR(I46="",X46=""),"",IFERROR(DATEDIF(I46,X46,"m")/12,""))</x:f>
        <x:v>4.833333333333333</x:v>
      </x:c>
      <x:c r="K46" s="60" t="str">
        <x:v>FLAT 5, 59 BONDWAY, LONDON, SW8 1SJ</x:v>
      </x:c>
      <x:c r="L46" s="60" t="str">
        <x:v> SW8 1SJ</x:v>
      </x:c>
      <x:c r="M46" s="60"/>
      <x:c r="N46" s="60" t="str">
        <x:v>SW8 1SJ</x:v>
      </x:c>
      <x:c r="O46" s="61" t="n">
        <x:v>43374.5</x:v>
      </x:c>
      <x:c r="P46" s="64" t="n">
        <x:f>IF(OR(O46="",I46=""),"",IFERROR(DATEDIF(O46,I46,"m")/12,""))</x:f>
        <x:v>3</x:v>
      </x:c>
      <x:c r="Q46" s="60" t="str">
        <x:v>FLAT 9, 216 KENNINGTON ROAD, LONDON SE11 6HR</x:v>
      </x:c>
      <x:c r="R46" s="61" t="n">
        <x:v>44105.5</x:v>
      </x:c>
      <x:c r="S46" s="64" t="n">
        <x:f>IF(OR(R46="",X46=""),"",IFERROR(DATEDIF(R46,X46,"m")/12,""))</x:f>
        <x:v>5.833333333333333</x:v>
      </x:c>
      <x:c r="T46" s="60" t="str">
        <x:v>MANAGER</x:v>
      </x:c>
      <x:c r="U46" s="60" t="str">
        <x:v>NCC GROUP</x:v>
      </x:c>
      <x:c r="V46" s="60" t="str">
        <x:v>106 VICTORIA STREET, LONDON, SW1E 6QT</x:v>
      </x:c>
      <x:c r="W46" s="63" t="str">
        <x:v>162 209 5200</x:v>
      </x:c>
      <x:c r="X46" s="65" t="n">
        <x:f>TODAY()</x:f>
        <x:v>46250</x:v>
      </x:c>
    </x:row>
    <x:row r="47">
      <x:c r="A47" s="59" t="str">
        <x:v>AZOULAY</x:v>
      </x:c>
      <x:c r="B47" s="60" t="str">
        <x:v>PHILIPPE</x:v>
      </x:c>
      <x:c r="C47" s="60" t="str">
        <x:v>EMMANUEL</x:v>
      </x:c>
      <x:c r="D47" s="61" t="n">
        <x:v>29468.5</x:v>
      </x:c>
      <x:c r="E47" s="62" t="n">
        <x:f>IF(OR(D47="",X47=""),"",IFERROR(DATEDIF(D47,X47,"y"),""))</x:f>
        <x:v>45</x:v>
      </x:c>
      <x:c r="F47" s="60" t="str">
        <x:v>AZOULAY</x:v>
      </x:c>
      <x:c r="G47" s="63" t="str">
        <x:v>07376670335</x:v>
      </x:c>
      <x:c r="H47" s="63"/>
      <x:c r="I47" s="61" t="n">
        <x:v>43678.5</x:v>
      </x:c>
      <x:c r="J47" s="64" t="n">
        <x:f>IF(OR(I47="",X47=""),"",IFERROR(DATEDIF(I47,X47,"m")/12,""))</x:f>
        <x:v>7</x:v>
      </x:c>
      <x:c r="K47" s="60" t="str">
        <x:v>FLAT L, 47 QUEENS GATE, LONDON, SW7 5JN</x:v>
      </x:c>
      <x:c r="L47" s="60" t="str">
        <x:v> SW7 5JN</x:v>
      </x:c>
      <x:c r="M47" s="60"/>
      <x:c r="N47" s="60" t="str">
        <x:v>SW7 5JN</x:v>
      </x:c>
      <x:c r="O47" s="61"/>
      <x:c r="P47" s="64" t="str">
        <x:f>IF(OR(O47="",I47=""),"",IFERROR(DATEDIF(O47,I47,"m")/12,""))</x:f>
      </x:c>
      <x:c r="Q47" s="60"/>
      <x:c r="R47" s="61" t="n">
        <x:v>44287.5</x:v>
      </x:c>
      <x:c r="S47" s="64" t="n">
        <x:f>IF(OR(R47="",X47=""),"",IFERROR(DATEDIF(R47,X47,"m")/12,""))</x:f>
        <x:v>5.333333333333333</x:v>
      </x:c>
      <x:c r="T47" s="60" t="str">
        <x:v>COMPANY DIRECTOR</x:v>
      </x:c>
      <x:c r="U47" s="60" t="str">
        <x:v>NAPO LIMITED</x:v>
      </x:c>
      <x:c r="V47" s="60" t="str">
        <x:v>99 KINGS ROAD, LONDON, UNITED KINGDOM, SW3 4PA</x:v>
      </x:c>
      <x:c r="W47" s="63"/>
      <x:c r="X47" s="65" t="n">
        <x:f>TODAY()</x:f>
        <x:v>46250</x:v>
      </x:c>
    </x:row>
    <x:row r="48">
      <x:c r="A48" s="59" t="str">
        <x:v>AZOULAY</x:v>
      </x:c>
      <x:c r="B48" s="60" t="str">
        <x:v>PHILIPPE</x:v>
      </x:c>
      <x:c r="C48" s="60" t="str">
        <x:v>EMMANUEL</x:v>
      </x:c>
      <x:c r="D48" s="61" t="n">
        <x:v>29468.5</x:v>
      </x:c>
      <x:c r="E48" s="62" t="n">
        <x:f>IF(OR(D48="",X48=""),"",IFERROR(DATEDIF(D48,X48,"y"),""))</x:f>
        <x:v>45</x:v>
      </x:c>
      <x:c r="F48" s="60" t="str">
        <x:v>AZOULAY</x:v>
      </x:c>
      <x:c r="G48" s="63" t="str">
        <x:v>07376670335</x:v>
      </x:c>
      <x:c r="H48" s="63"/>
      <x:c r="I48" s="61" t="n">
        <x:v>43678.5</x:v>
      </x:c>
      <x:c r="J48" s="64" t="n">
        <x:f>IF(OR(I48="",X48=""),"",IFERROR(DATEDIF(I48,X48,"m")/12,""))</x:f>
        <x:v>7</x:v>
      </x:c>
      <x:c r="K48" s="60" t="str">
        <x:v>FLAT L, 47 QUEENS GATE, LONDON, SW7 5JN</x:v>
      </x:c>
      <x:c r="L48" s="60" t="str">
        <x:v> SW7 5JN</x:v>
      </x:c>
      <x:c r="M48" s="60"/>
      <x:c r="N48" s="60" t="str">
        <x:v>SW7 5JN</x:v>
      </x:c>
      <x:c r="O48" s="61"/>
      <x:c r="P48" s="64" t="str">
        <x:f>IF(OR(O48="",I48=""),"",IFERROR(DATEDIF(O48,I48,"m")/12,""))</x:f>
      </x:c>
      <x:c r="Q48" s="60"/>
      <x:c r="R48" s="61" t="n">
        <x:v>44287.5</x:v>
      </x:c>
      <x:c r="S48" s="64" t="n">
        <x:f>IF(OR(R48="",X48=""),"",IFERROR(DATEDIF(R48,X48,"m")/12,""))</x:f>
        <x:v>5.333333333333333</x:v>
      </x:c>
      <x:c r="T48" s="60" t="str">
        <x:v>COMPANY DIRECTOR</x:v>
      </x:c>
      <x:c r="U48" s="60" t="str">
        <x:v>NAPO LIMITED</x:v>
      </x:c>
      <x:c r="V48" s="60" t="str">
        <x:v>100 KINGS ROAD, LONDON, UNITED KINGDOM, SW3 4PA</x:v>
      </x:c>
      <x:c r="W48" s="63"/>
      <x:c r="X48" s="65" t="n">
        <x:f>TODAY()</x:f>
        <x:v>46250</x:v>
      </x:c>
    </x:row>
    <x:row r="49">
      <x:c r="A49" s="59" t="str">
        <x:v>B</x:v>
      </x:c>
      <x:c r="B49" s="60"/>
      <x:c r="C49" s="60"/>
      <x:c r="D49" s="61"/>
      <x:c r="E49" s="62" t="str">
        <x:f>IF(OR(D49="",X49=""),"",IFERROR(DATEDIF(D49,X49,"y"),""))</x:f>
      </x:c>
      <x:c r="F49" s="60"/>
      <x:c r="G49" s="63"/>
      <x:c r="H49" s="63"/>
      <x:c r="I49" s="61"/>
      <x:c r="J49" s="64" t="str">
        <x:f>IF(OR(I49="",X49=""),"",IFERROR(DATEDIF(I49,X49,"m")/12,""))</x:f>
      </x:c>
      <x:c r="K49" s="60"/>
      <x:c r="L49" s="60"/>
      <x:c r="M49" s="60"/>
      <x:c r="N49" s="60"/>
      <x:c r="O49" s="61"/>
      <x:c r="P49" s="64" t="str">
        <x:f>IF(OR(O49="",I49=""),"",IFERROR(DATEDIF(O49,I49,"m")/12,""))</x:f>
      </x:c>
      <x:c r="Q49" s="60"/>
      <x:c r="R49" s="61"/>
      <x:c r="S49" s="64" t="str">
        <x:f>IF(OR(R49="",X49=""),"",IFERROR(DATEDIF(R49,X49,"m")/12,""))</x:f>
      </x:c>
      <x:c r="T49" s="60"/>
      <x:c r="U49" s="60"/>
      <x:c r="V49" s="60"/>
      <x:c r="W49" s="63"/>
      <x:c r="X49" s="65" t="n">
        <x:f>TODAY()</x:f>
        <x:v>46250</x:v>
      </x:c>
    </x:row>
    <x:row r="50">
      <x:c r="A50" s="59" t="str">
        <x:v>BACIGALUPO</x:v>
      </x:c>
      <x:c r="B50" s="60" t="str">
        <x:v>GONZALO</x:v>
      </x:c>
      <x:c r="C50" s="60" t="str">
        <x:v>THOMAS</x:v>
      </x:c>
      <x:c r="D50" s="61" t="n">
        <x:v>34306.5</x:v>
      </x:c>
      <x:c r="E50" s="62" t="n">
        <x:f>IF(OR(D50="",X50=""),"",IFERROR(DATEDIF(D50,X50,"y"),""))</x:f>
        <x:v>32</x:v>
      </x:c>
      <x:c r="F50" s="60" t="str">
        <x:v>PEREZ</x:v>
      </x:c>
      <x:c r="G50" s="63"/>
      <x:c r="H50" s="63"/>
      <x:c r="I50" s="61" t="n">
        <x:v>44713.5</x:v>
      </x:c>
      <x:c r="J50" s="64" t="n">
        <x:f>IF(OR(I50="",X50=""),"",IFERROR(DATEDIF(I50,X50,"m")/12,""))</x:f>
        <x:v>4.166666666666667</x:v>
      </x:c>
      <x:c r="K50" s="60" t="str">
        <x:v>FLAT B, 53 -55 LANCASTER GATE LONDON W2 3NA</x:v>
      </x:c>
      <x:c r="L50" s="60"/>
      <x:c r="M50" s="60"/>
      <x:c r="N50" s="60"/>
      <x:c r="O50" s="61"/>
      <x:c r="P50" s="64" t="str">
        <x:f>IF(OR(O50="",I50=""),"",IFERROR(DATEDIF(O50,I50,"m")/12,""))</x:f>
      </x:c>
      <x:c r="Q50" s="60"/>
      <x:c r="R50" s="61"/>
      <x:c r="S50" s="64" t="str">
        <x:f>IF(OR(R50="",X50=""),"",IFERROR(DATEDIF(R50,X50,"m")/12,""))</x:f>
      </x:c>
      <x:c r="T50" s="60"/>
      <x:c r="U50" s="60"/>
      <x:c r="V50" s="60"/>
      <x:c r="W50" s="63"/>
      <x:c r="X50" s="65" t="n">
        <x:f>TODAY()</x:f>
        <x:v>46250</x:v>
      </x:c>
    </x:row>
    <x:row r="51">
      <x:c r="A51" s="59" t="str">
        <x:v>BAGHERI</x:v>
      </x:c>
      <x:c r="B51" s="60" t="str">
        <x:v>ZIBA</x:v>
      </x:c>
      <x:c r="C51" s="60"/>
      <x:c r="D51" s="61" t="n">
        <x:v>21213.5</x:v>
      </x:c>
      <x:c r="E51" s="62" t="n">
        <x:f>IF(OR(D51="",X51=""),"",IFERROR(DATEDIF(D51,X51,"y"),""))</x:f>
        <x:v>68</x:v>
      </x:c>
      <x:c r="F51" s="60"/>
      <x:c r="G51" s="63"/>
      <x:c r="H51" s="63"/>
      <x:c r="I51" s="61" t="n">
        <x:v>41306.5</x:v>
      </x:c>
      <x:c r="J51" s="64" t="n">
        <x:f>IF(OR(I51="",X51=""),"",IFERROR(DATEDIF(I51,X51,"m")/12,""))</x:f>
        <x:v>13.5</x:v>
      </x:c>
      <x:c r="K51" s="60" t="str">
        <x:v>FLAT 5, 8 LEINSTER GARDENS, LONDON,W2 6DP</x:v>
      </x:c>
      <x:c r="L51" s="60" t="str">
        <x:v>W2 6DP</x:v>
      </x:c>
      <x:c r="M51" s="60"/>
      <x:c r="N51" s="60" t="str">
        <x:v>W2 6DP</x:v>
      </x:c>
      <x:c r="O51" s="61"/>
      <x:c r="P51" s="64" t="str">
        <x:f>IF(OR(O51="",I51=""),"",IFERROR(DATEDIF(O51,I51,"m")/12,""))</x:f>
      </x:c>
      <x:c r="Q51" s="60"/>
      <x:c r="R51" s="61"/>
      <x:c r="S51" s="64" t="str">
        <x:f>IF(OR(R51="",X51=""),"",IFERROR(DATEDIF(R51,X51,"m")/12,""))</x:f>
      </x:c>
      <x:c r="T51" s="60"/>
      <x:c r="U51" s="60"/>
      <x:c r="V51" s="60"/>
      <x:c r="W51" s="63"/>
      <x:c r="X51" s="65" t="n">
        <x:f>TODAY()</x:f>
        <x:v>46250</x:v>
      </x:c>
    </x:row>
    <x:row r="52">
      <x:c r="A52" s="59" t="str">
        <x:v>BAIN</x:v>
      </x:c>
      <x:c r="B52" s="60" t="str">
        <x:v>NICOLA</x:v>
      </x:c>
      <x:c r="C52" s="60" t="str">
        <x:v>LOUISE</x:v>
      </x:c>
      <x:c r="D52" s="61" t="n">
        <x:v>27090.5</x:v>
      </x:c>
      <x:c r="E52" s="62" t="n">
        <x:f>IF(OR(D52="",X52=""),"",IFERROR(DATEDIF(D52,X52,"y"),""))</x:f>
        <x:v>52</x:v>
      </x:c>
      <x:c r="F52" s="60"/>
      <x:c r="G52" s="63"/>
      <x:c r="H52" s="63"/>
      <x:c r="I52" s="61"/>
      <x:c r="J52" s="64" t="str">
        <x:f>IF(OR(I52="",X52=""),"",IFERROR(DATEDIF(I52,X52,"m")/12,""))</x:f>
      </x:c>
      <x:c r="K52" s="60" t="str">
        <x:v>FLAT 4, 196 CROMWELL ROAD, LONDON, SW5 0SN</x:v>
      </x:c>
      <x:c r="L52" s="60" t="str">
        <x:v> SW5 0SN</x:v>
      </x:c>
      <x:c r="M52" s="60"/>
      <x:c r="N52" s="60" t="str">
        <x:v>SW5 0SN</x:v>
      </x:c>
      <x:c r="O52" s="61"/>
      <x:c r="P52" s="64" t="str">
        <x:f>IF(OR(O52="",I52=""),"",IFERROR(DATEDIF(O52,I52,"m")/12,""))</x:f>
      </x:c>
      <x:c r="Q52" s="60"/>
      <x:c r="R52" s="61" t="n">
        <x:v>43831.5</x:v>
      </x:c>
      <x:c r="S52" s="64" t="n">
        <x:f>IF(OR(R52="",X52=""),"",IFERROR(DATEDIF(R52,X52,"m")/12,""))</x:f>
        <x:v>6.583333333333333</x:v>
      </x:c>
      <x:c r="T52" s="60" t="str">
        <x:v>HEAD OF OFFSHORE RENEWABLES REGULATORY ADVICE</x:v>
      </x:c>
      <x:c r="U52" s="60" t="str">
        <x:v>XODUS GROUP</x:v>
      </x:c>
      <x:c r="V52" s="60" t="str">
        <x:v>CHEAPSIDE HOUSE,138 CHEAPSIDE, LONDON, EC2V 6BJ</x:v>
      </x:c>
      <x:c r="W52" s="63" t="str">
        <x:v>0207 246 2990</x:v>
      </x:c>
      <x:c r="X52" s="65" t="n">
        <x:f>TODAY()</x:f>
        <x:v>46250</x:v>
      </x:c>
    </x:row>
    <x:row r="53">
      <x:c r="A53" s="59" t="str">
        <x:v>BALANZATEGUI</x:v>
      </x:c>
      <x:c r="B53" s="60" t="str">
        <x:v>TYSON</x:v>
      </x:c>
      <x:c r="C53" s="60" t="str">
        <x:v>KURT</x:v>
      </x:c>
      <x:c r="D53" s="61" t="n">
        <x:v>33543.5</x:v>
      </x:c>
      <x:c r="E53" s="62" t="n">
        <x:f>IF(OR(D53="",X53=""),"",IFERROR(DATEDIF(D53,X53,"y"),""))</x:f>
        <x:v>34</x:v>
      </x:c>
      <x:c r="F53" s="60"/>
      <x:c r="G53" s="63"/>
      <x:c r="H53" s="63"/>
      <x:c r="I53" s="61" t="n">
        <x:v>43770.5</x:v>
      </x:c>
      <x:c r="J53" s="64" t="n">
        <x:f>IF(OR(I53="",X53=""),"",IFERROR(DATEDIF(I53,X53,"m")/12,""))</x:f>
        <x:v>6.75</x:v>
      </x:c>
      <x:c r="K53" s="60" t="str">
        <x:v>FLAT 6, 59 BONDWAY, LONDON, SW8 1SJ</x:v>
      </x:c>
      <x:c r="L53" s="60" t="str">
        <x:v> SW8 1SJ</x:v>
      </x:c>
      <x:c r="M53" s="60"/>
      <x:c r="N53" s="60" t="str">
        <x:v>SW8 1SJ</x:v>
      </x:c>
      <x:c r="O53" s="61" t="n">
        <x:v>42979.5</x:v>
      </x:c>
      <x:c r="P53" s="64" t="n">
        <x:f>IF(OR(O53="",I53=""),"",IFERROR(DATEDIF(O53,I53,"m")/12,""))</x:f>
        <x:v>2.1666666666666665</x:v>
      </x:c>
      <x:c r="Q53" s="60" t="str">
        <x:v>2 STAMFORD SQUARE, , LONDON, SW15 2BF</x:v>
      </x:c>
      <x:c r="R53" s="61" t="n">
        <x:v>42979.5</x:v>
      </x:c>
      <x:c r="S53" s="64" t="n">
        <x:f>IF(OR(R53="",X53=""),"",IFERROR(DATEDIF(R53,X53,"m")/12,""))</x:f>
        <x:v>8.916666666666666</x:v>
      </x:c>
      <x:c r="T53" s="60" t="str">
        <x:v>DIRECTOR</x:v>
      </x:c>
      <x:c r="U53" s="60" t="str">
        <x:v>TB7 FINANCIAL SERVICES LIMITED</x:v>
      </x:c>
      <x:c r="V53" s="60" t="str">
        <x:v>2 STAMFORD SQUARE, , LONDON, SW15 2BF</x:v>
      </x:c>
      <x:c r="W53" s="63"/>
      <x:c r="X53" s="65" t="n">
        <x:f>TODAY()</x:f>
        <x:v>46250</x:v>
      </x:c>
    </x:row>
    <x:row r="54">
      <x:c r="A54" s="59" t="str">
        <x:v>BALLER</x:v>
      </x:c>
      <x:c r="B54" s="60" t="str">
        <x:v>CHRISTOPHER</x:v>
      </x:c>
      <x:c r="C54" s="60" t="str">
        <x:v>STEPHEN</x:v>
      </x:c>
      <x:c r="D54" s="61" t="n">
        <x:v>34102.5</x:v>
      </x:c>
      <x:c r="E54" s="62" t="n">
        <x:f>IF(OR(D54="",X54=""),"",IFERROR(DATEDIF(D54,X54,"y"),""))</x:f>
        <x:v>33</x:v>
      </x:c>
      <x:c r="F54" s="60" t="str">
        <x:v>CHARLWOOD</x:v>
      </x:c>
      <x:c r="G54" s="63"/>
      <x:c r="H54" s="63"/>
      <x:c r="I54" s="61" t="n">
        <x:v>43221.5</x:v>
      </x:c>
      <x:c r="J54" s="64" t="n">
        <x:f>IF(OR(I54="",X54=""),"",IFERROR(DATEDIF(I54,X54,"m")/12,""))</x:f>
        <x:v>8.25</x:v>
      </x:c>
      <x:c r="K54" s="60" t="str">
        <x:v>FLAT 6, 59 BONDWAY, LONDON, SW8 1SJ</x:v>
      </x:c>
      <x:c r="L54" s="60" t="str">
        <x:v> SW8 1SJ</x:v>
      </x:c>
      <x:c r="M54" s="60"/>
      <x:c r="N54" s="60" t="str">
        <x:v>SW8 1SJ</x:v>
      </x:c>
      <x:c r="O54" s="61"/>
      <x:c r="P54" s="64" t="str">
        <x:f>IF(OR(O54="",I54=""),"",IFERROR(DATEDIF(O54,I54,"m")/12,""))</x:f>
      </x:c>
      <x:c r="Q54" s="60"/>
      <x:c r="R54" s="61"/>
      <x:c r="S54" s="64" t="str">
        <x:f>IF(OR(R54="",X54=""),"",IFERROR(DATEDIF(R54,X54,"m")/12,""))</x:f>
      </x:c>
      <x:c r="T54" s="60" t="str">
        <x:v>ASSOCIATE</x:v>
      </x:c>
      <x:c r="U54" s="60" t="str">
        <x:v>ARJUN INFRASTRUCTURE PARTNERS</x:v>
      </x:c>
      <x:c r="V54" s="60" t="str">
        <x:v>33 ST JAMES SQUARE, LONDON, SW1Y 4JS</x:v>
      </x:c>
      <x:c r="W54" s="63"/>
      <x:c r="X54" s="65" t="n">
        <x:f>TODAY()</x:f>
        <x:v>46250</x:v>
      </x:c>
    </x:row>
    <x:row r="55">
      <x:c r="A55" s="59" t="str">
        <x:v>BANNER</x:v>
      </x:c>
      <x:c r="B55" s="60" t="str">
        <x:v>RUPERT</x:v>
      </x:c>
      <x:c r="C55" s="60" t="str">
        <x:v>JOHN NICHOLAS</x:v>
      </x:c>
      <x:c r="D55" s="61" t="n">
        <x:v>27437.5</x:v>
      </x:c>
      <x:c r="E55" s="62" t="n">
        <x:f>IF(OR(D55="",X55=""),"",IFERROR(DATEDIF(D55,X55,"y"),""))</x:f>
        <x:v>51</x:v>
      </x:c>
      <x:c r="F55" s="60"/>
      <x:c r="G55" s="63"/>
      <x:c r="H55" s="63"/>
      <x:c r="I55" s="61" t="n">
        <x:v>38108.5</x:v>
      </x:c>
      <x:c r="J55" s="64" t="n">
        <x:f>IF(OR(I55="",X55=""),"",IFERROR(DATEDIF(I55,X55,"m")/12,""))</x:f>
        <x:v>22.25</x:v>
      </x:c>
      <x:c r="K55" s="60" t="str">
        <x:v>BASEMENT SOUTH, QUEENS GATE PLACE, LONDON, SW7 5NS</x:v>
      </x:c>
      <x:c r="L55" s="60" t="str">
        <x:v> SW7 5NS</x:v>
      </x:c>
      <x:c r="M55" s="60"/>
      <x:c r="N55" s="60" t="str">
        <x:v>SW7 5NS</x:v>
      </x:c>
      <x:c r="O55" s="61"/>
      <x:c r="P55" s="64" t="str">
        <x:f>IF(OR(O55="",I55=""),"",IFERROR(DATEDIF(O55,I55,"m")/12,""))</x:f>
      </x:c>
      <x:c r="Q55" s="60"/>
      <x:c r="R55" s="61"/>
      <x:c r="S55" s="64" t="str">
        <x:f>IF(OR(R55="",X55=""),"",IFERROR(DATEDIF(R55,X55,"m")/12,""))</x:f>
      </x:c>
      <x:c r="T55" s="60"/>
      <x:c r="U55" s="60"/>
      <x:c r="V55" s="60"/>
      <x:c r="W55" s="63"/>
      <x:c r="X55" s="65" t="n">
        <x:f>TODAY()</x:f>
        <x:v>46250</x:v>
      </x:c>
    </x:row>
    <x:row r="56">
      <x:c r="A56" s="59" t="str">
        <x:v>BARAKAT</x:v>
      </x:c>
      <x:c r="B56" s="60" t="str">
        <x:v>CHARLES</x:v>
      </x:c>
      <x:c r="C56" s="60" t="str">
        <x:v>ANTHONY</x:v>
      </x:c>
      <x:c r="D56" s="61" t="n">
        <x:v>36830.5</x:v>
      </x:c>
      <x:c r="E56" s="62" t="n">
        <x:f>IF(OR(D56="",X56=""),"",IFERROR(DATEDIF(D56,X56,"y"),""))</x:f>
        <x:v>25</x:v>
      </x:c>
      <x:c r="F56" s="60" t="str">
        <x:v>HICKMAN</x:v>
      </x:c>
      <x:c r="G56" s="63"/>
      <x:c r="H56" s="63"/>
      <x:c r="I56" s="61"/>
      <x:c r="J56" s="64" t="str">
        <x:f>IF(OR(I56="",X56=""),"",IFERROR(DATEDIF(I56,X56,"m")/12,""))</x:f>
      </x:c>
      <x:c r="K56" s="60" t="str">
        <x:v>FLAT 9, 27 REDCLIFFE SQUARE, LONDON, SW10 9JX</x:v>
      </x:c>
      <x:c r="L56" s="60" t="str">
        <x:v> SW10 9JX</x:v>
      </x:c>
      <x:c r="M56" s="60"/>
      <x:c r="N56" s="60" t="str">
        <x:v>SW10 9JX</x:v>
      </x:c>
      <x:c r="O56" s="61"/>
      <x:c r="P56" s="64" t="str">
        <x:f>IF(OR(O56="",I56=""),"",IFERROR(DATEDIF(O56,I56,"m")/12,""))</x:f>
      </x:c>
      <x:c r="Q56" s="60"/>
      <x:c r="R56" s="61"/>
      <x:c r="S56" s="64" t="str">
        <x:f>IF(OR(R56="",X56=""),"",IFERROR(DATEDIF(R56,X56,"m")/12,""))</x:f>
      </x:c>
      <x:c r="T56" s="60"/>
      <x:c r="U56" s="60"/>
      <x:c r="V56" s="60"/>
      <x:c r="W56" s="63"/>
      <x:c r="X56" s="65" t="n">
        <x:f>TODAY()</x:f>
        <x:v>46250</x:v>
      </x:c>
    </x:row>
    <x:row r="57">
      <x:c r="A57" s="59" t="str">
        <x:v>BARNAM-BOBB</x:v>
      </x:c>
      <x:c r="B57" s="60" t="str">
        <x:v>PHEBE</x:v>
      </x:c>
      <x:c r="C57" s="60"/>
      <x:c r="D57" s="61"/>
      <x:c r="E57" s="62" t="str">
        <x:f>IF(OR(D57="",X57=""),"",IFERROR(DATEDIF(D57,X57,"y"),""))</x:f>
      </x:c>
      <x:c r="F57" s="60"/>
      <x:c r="G57" s="63"/>
      <x:c r="H57" s="63"/>
      <x:c r="I57" s="61"/>
      <x:c r="J57" s="64" t="str">
        <x:f>IF(OR(I57="",X57=""),"",IFERROR(DATEDIF(I57,X57,"m")/12,""))</x:f>
      </x:c>
      <x:c r="K57" s="60" t="str">
        <x:v>FLAT 11-13, 223 CLAPHAM ROAD, LONDON, SW9 9BE</x:v>
      </x:c>
      <x:c r="L57" s="60" t="str">
        <x:v> SW9 9BE</x:v>
      </x:c>
      <x:c r="M57" s="60"/>
      <x:c r="N57" s="60" t="str">
        <x:v>SW9 9BE</x:v>
      </x:c>
      <x:c r="O57" s="61"/>
      <x:c r="P57" s="64" t="str">
        <x:f>IF(OR(O57="",I57=""),"",IFERROR(DATEDIF(O57,I57,"m")/12,""))</x:f>
      </x:c>
      <x:c r="Q57" s="60"/>
      <x:c r="R57" s="61"/>
      <x:c r="S57" s="64" t="str">
        <x:f>IF(OR(R57="",X57=""),"",IFERROR(DATEDIF(R57,X57,"m")/12,""))</x:f>
      </x:c>
      <x:c r="T57" s="60"/>
      <x:c r="U57" s="60"/>
      <x:c r="V57" s="60"/>
      <x:c r="W57" s="63"/>
      <x:c r="X57" s="65" t="n">
        <x:f>TODAY()</x:f>
        <x:v>46250</x:v>
      </x:c>
    </x:row>
    <x:row r="58">
      <x:c r="A58" s="59" t="str">
        <x:v>BARNERIAS</x:v>
      </x:c>
      <x:c r="B58" s="60" t="str">
        <x:v>SOPHIE</x:v>
      </x:c>
      <x:c r="C58" s="60"/>
      <x:c r="D58" s="61" t="n">
        <x:v>33758.5</x:v>
      </x:c>
      <x:c r="E58" s="62" t="n">
        <x:f>IF(OR(D58="",X58=""),"",IFERROR(DATEDIF(D58,X58,"y"),""))</x:f>
        <x:v>34</x:v>
      </x:c>
      <x:c r="F58" s="60" t="str">
        <x:v>BARNERIAS</x:v>
      </x:c>
      <x:c r="G58" s="63"/>
      <x:c r="H58" s="63"/>
      <x:c r="I58" s="61" t="n">
        <x:v>43374.5</x:v>
      </x:c>
      <x:c r="J58" s="64" t="n">
        <x:f>IF(OR(I58="",X58=""),"",IFERROR(DATEDIF(I58,X58,"m")/12,""))</x:f>
        <x:v>7.833333333333333</x:v>
      </x:c>
      <x:c r="K58" s="60" t="str">
        <x:v>FLAT 4, 376 NORTH END ROAD, LONDON, SW6 1LY</x:v>
      </x:c>
      <x:c r="L58" s="60" t="str">
        <x:v> SW6 1LY</x:v>
      </x:c>
      <x:c r="M58" s="60"/>
      <x:c r="N58" s="60" t="str">
        <x:v>SW6 1LY</x:v>
      </x:c>
      <x:c r="O58" s="61"/>
      <x:c r="P58" s="64" t="str">
        <x:f>IF(OR(O58="",I58=""),"",IFERROR(DATEDIF(O58,I58,"m")/12,""))</x:f>
      </x:c>
      <x:c r="Q58" s="60"/>
      <x:c r="R58" s="61"/>
      <x:c r="S58" s="64" t="str">
        <x:f>IF(OR(R58="",X58=""),"",IFERROR(DATEDIF(R58,X58,"m")/12,""))</x:f>
      </x:c>
      <x:c r="T58" s="60" t="str">
        <x:v>LEGAL COUNSEL</x:v>
      </x:c>
      <x:c r="U58" s="60" t="str">
        <x:v>BNP PARIBAS</x:v>
      </x:c>
      <x:c r="V58" s="60" t="str">
        <x:v>5 ALDERMANBURY, BARBICAN, LONDON EC2V 7BP</x:v>
      </x:c>
      <x:c r="W58" s="63" t="str">
        <x:v>02075952000</x:v>
      </x:c>
      <x:c r="X58" s="65" t="n">
        <x:f>TODAY()</x:f>
        <x:v>46250</x:v>
      </x:c>
    </x:row>
    <x:row r="59">
      <x:c r="A59" s="59" t="str">
        <x:v>BARON</x:v>
      </x:c>
      <x:c r="B59" s="60" t="str">
        <x:v>JOSHUA</x:v>
      </x:c>
      <x:c r="C59" s="60" t="str">
        <x:v>LAURENCE</x:v>
      </x:c>
      <x:c r="D59" s="61" t="n">
        <x:v>33450.5</x:v>
      </x:c>
      <x:c r="E59" s="62" t="n">
        <x:f>IF(OR(D59="",X59=""),"",IFERROR(DATEDIF(D59,X59,"y"),""))</x:f>
        <x:v>35</x:v>
      </x:c>
      <x:c r="F59" s="60"/>
      <x:c r="G59" s="63" t="str">
        <x:v>07516280927</x:v>
      </x:c>
      <x:c r="H59" s="63"/>
      <x:c r="I59" s="61"/>
      <x:c r="J59" s="64" t="str">
        <x:f>IF(OR(I59="",X59=""),"",IFERROR(DATEDIF(I59,X59,"m")/12,""))</x:f>
      </x:c>
      <x:c r="K59" s="60" t="str">
        <x:v>268 FULHAM ROAD, LONDON, SW10 9EW</x:v>
      </x:c>
      <x:c r="L59" s="60" t="str">
        <x:v> SW10 9EW</x:v>
      </x:c>
      <x:c r="M59" s="60"/>
      <x:c r="N59" s="60" t="str">
        <x:v>SW10 9EW</x:v>
      </x:c>
      <x:c r="O59" s="61"/>
      <x:c r="P59" s="64" t="str">
        <x:f>IF(OR(O59="",I59=""),"",IFERROR(DATEDIF(O59,I59,"m")/12,""))</x:f>
      </x:c>
      <x:c r="Q59" s="60"/>
      <x:c r="R59" s="61"/>
      <x:c r="S59" s="64" t="str">
        <x:f>IF(OR(R59="",X59=""),"",IFERROR(DATEDIF(R59,X59,"m")/12,""))</x:f>
      </x:c>
      <x:c r="T59" s="60"/>
      <x:c r="U59" s="60"/>
      <x:c r="V59" s="60"/>
      <x:c r="W59" s="63"/>
      <x:c r="X59" s="65" t="n">
        <x:f>TODAY()</x:f>
        <x:v>46250</x:v>
      </x:c>
    </x:row>
    <x:row r="60">
      <x:c r="A60" s="59" t="str">
        <x:v>BARRAGAN-LOPEZ</x:v>
      </x:c>
      <x:c r="B60" s="60" t="str">
        <x:v>CARMEN</x:v>
      </x:c>
      <x:c r="C60" s="60"/>
      <x:c r="D60" s="61" t="n">
        <x:v>36424.5</x:v>
      </x:c>
      <x:c r="E60" s="62" t="n">
        <x:f>IF(OR(D60="",X60=""),"",IFERROR(DATEDIF(D60,X60,"y"),""))</x:f>
        <x:v>26</x:v>
      </x:c>
      <x:c r="F60" s="60" t="str">
        <x:v>BARRAGAN</x:v>
      </x:c>
      <x:c r="G60" s="63"/>
      <x:c r="H60" s="63"/>
      <x:c r="I60" s="61" t="n">
        <x:v>44440.5</x:v>
      </x:c>
      <x:c r="J60" s="64" t="n">
        <x:f>IF(OR(I60="",X60=""),"",IFERROR(DATEDIF(I60,X60,"m")/12,""))</x:f>
        <x:v>4.916666666666667</x:v>
      </x:c>
      <x:c r="K60" s="60" t="str">
        <x:v>FLAT 1, 59 BONDWAY, LONDON, SW8 1SJ</x:v>
      </x:c>
      <x:c r="L60" s="60" t="str">
        <x:v> SW8 1SJ</x:v>
      </x:c>
      <x:c r="M60" s="60"/>
      <x:c r="N60" s="60" t="str">
        <x:v>SW8 1SJ</x:v>
      </x:c>
      <x:c r="O60" s="61"/>
      <x:c r="P60" s="64" t="str">
        <x:f>IF(OR(O60="",I60=""),"",IFERROR(DATEDIF(O60,I60,"m")/12,""))</x:f>
      </x:c>
      <x:c r="Q60" s="60"/>
      <x:c r="R60" s="61" t="n">
        <x:v>44409.5</x:v>
      </x:c>
      <x:c r="S60" s="64" t="n">
        <x:f>IF(OR(R60="",X60=""),"",IFERROR(DATEDIF(R60,X60,"m")/12,""))</x:f>
        <x:v>5</x:v>
      </x:c>
      <x:c r="T60" s="60" t="str">
        <x:v>TAX PARALEGAL</x:v>
      </x:c>
      <x:c r="U60" s="60"/>
      <x:c r="V60" s="60"/>
      <x:c r="W60" s="63" t="str">
        <x:v>020 7036 0200</x:v>
      </x:c>
      <x:c r="X60" s="65" t="n">
        <x:f>TODAY()</x:f>
        <x:v>46250</x:v>
      </x:c>
    </x:row>
    <x:row r="61">
      <x:c r="A61" s="59" t="str">
        <x:v>BARRAGE</x:v>
      </x:c>
      <x:c r="B61" s="60" t="str">
        <x:v>JUDY</x:v>
      </x:c>
      <x:c r="C61" s="60"/>
      <x:c r="D61" s="61" t="n">
        <x:v>28822.5</x:v>
      </x:c>
      <x:c r="E61" s="62" t="n">
        <x:f>IF(OR(D61="",X61=""),"",IFERROR(DATEDIF(D61,X61,"y"),""))</x:f>
        <x:v>47</x:v>
      </x:c>
      <x:c r="F61" s="60" t="str">
        <x:v>HAMMAMI</x:v>
      </x:c>
      <x:c r="G61" s="63"/>
      <x:c r="H61" s="63"/>
      <x:c r="I61" s="61" t="n">
        <x:v>43344.5</x:v>
      </x:c>
      <x:c r="J61" s="64" t="n">
        <x:f>IF(OR(I61="",X61=""),"",IFERROR(DATEDIF(I61,X61,"m")/12,""))</x:f>
        <x:v>7.916666666666667</x:v>
      </x:c>
      <x:c r="K61" s="60" t="str">
        <x:v>FLAT 2, 169 CROMWELL ROAD, SW5 0SQ</x:v>
      </x:c>
      <x:c r="L61" s="60"/>
      <x:c r="M61" s="60"/>
      <x:c r="N61" s="60"/>
      <x:c r="O61" s="61" t="n">
        <x:v>42644.5</x:v>
      </x:c>
      <x:c r="P61" s="64" t="n">
        <x:f>IF(OR(O61="",I61=""),"",IFERROR(DATEDIF(O61,I61,"m")/12,""))</x:f>
        <x:v>1.9166666666666667</x:v>
      </x:c>
      <x:c r="Q61" s="60" t="str">
        <x:v>FLAT, BASEMENT B, 33, PENYWERN ROAD, LONDON, LONDON, SW5 9TU</x:v>
      </x:c>
      <x:c r="R61" s="61"/>
      <x:c r="S61" s="64" t="str">
        <x:f>IF(OR(R61="",X61=""),"",IFERROR(DATEDIF(R61,X61,"m")/12,""))</x:f>
      </x:c>
      <x:c r="T61" s="60"/>
      <x:c r="U61" s="60"/>
      <x:c r="V61" s="60"/>
      <x:c r="W61" s="63"/>
      <x:c r="X61" s="65" t="n">
        <x:f>TODAY()</x:f>
        <x:v>46250</x:v>
      </x:c>
    </x:row>
    <x:row r="62">
      <x:c r="A62" s="59" t="str">
        <x:v>BARRETT</x:v>
      </x:c>
      <x:c r="B62" s="60" t="str">
        <x:v>ROSS</x:v>
      </x:c>
      <x:c r="C62" s="60" t="str">
        <x:v>ALEXANDER</x:v>
      </x:c>
      <x:c r="D62" s="61" t="n">
        <x:v>32805.5</x:v>
      </x:c>
      <x:c r="E62" s="62" t="n">
        <x:f>IF(OR(D62="",X62=""),"",IFERROR(DATEDIF(D62,X62,"y"),""))</x:f>
        <x:v>36</x:v>
      </x:c>
      <x:c r="F62" s="60" t="str">
        <x:v>KIDDIE</x:v>
      </x:c>
      <x:c r="G62" s="63"/>
      <x:c r="H62" s="63" t="str">
        <x:v>PX996120A</x:v>
      </x:c>
      <x:c r="I62" s="61" t="n">
        <x:v>44228.5</x:v>
      </x:c>
      <x:c r="J62" s="64" t="n">
        <x:f>IF(OR(I62="",X62=""),"",IFERROR(DATEDIF(I62,X62,"m")/12,""))</x:f>
        <x:v>5.5</x:v>
      </x:c>
      <x:c r="K62" s="60" t="str">
        <x:v>16 NEVERN SQUARE, LONDON, SW5 9NW</x:v>
      </x:c>
      <x:c r="L62" s="60" t="str">
        <x:v> SW5 9NW</x:v>
      </x:c>
      <x:c r="M62" s="60"/>
      <x:c r="N62" s="60" t="str">
        <x:v>SW5 9NW</x:v>
      </x:c>
      <x:c r="O62" s="61" t="n">
        <x:v>43770.5</x:v>
      </x:c>
      <x:c r="P62" s="64" t="n">
        <x:f>IF(OR(O62="",I62=""),"",IFERROR(DATEDIF(O62,I62,"m")/12,""))</x:f>
        <x:v>1.25</x:v>
      </x:c>
      <x:c r="Q62" s="60" t="str">
        <x:v>BEIT HALL, PRINCE CONSORT ROAD, LONDON, SW7 2BB</x:v>
      </x:c>
      <x:c r="R62" s="61" t="n">
        <x:v>45047.5</x:v>
      </x:c>
      <x:c r="S62" s="64" t="n">
        <x:f>IF(OR(R62="",X62=""),"",IFERROR(DATEDIF(R62,X62,"m")/12,""))</x:f>
        <x:v>3.25</x:v>
      </x:c>
      <x:c r="T62" s="60" t="str">
        <x:v>COST ENGINEEER</x:v>
      </x:c>
      <x:c r="U62" s="60" t="str">
        <x:v>TECHNIP ENERGIES</x:v>
      </x:c>
      <x:c r="V62" s="60" t="str">
        <x:v>ONE ST. PAUL’S CHURCHYARD, LONDON EC4M 8AP</x:v>
      </x:c>
      <x:c r="W62" s="63" t="str">
        <x:v>020 7585 5051</x:v>
      </x:c>
      <x:c r="X62" s="65" t="n">
        <x:f>TODAY()</x:f>
        <x:v>46250</x:v>
      </x:c>
    </x:row>
    <x:row r="63">
      <x:c r="A63" s="59" t="str">
        <x:v>BARTLETT</x:v>
      </x:c>
      <x:c r="B63" s="60" t="str">
        <x:v>SUZANNAH</x:v>
      </x:c>
      <x:c r="C63" s="60" t="str">
        <x:v>LOUISE</x:v>
      </x:c>
      <x:c r="D63" s="61" t="n">
        <x:v>26856.5</x:v>
      </x:c>
      <x:c r="E63" s="62" t="n">
        <x:f>IF(OR(D63="",X63=""),"",IFERROR(DATEDIF(D63,X63,"y"),""))</x:f>
        <x:v>53</x:v>
      </x:c>
      <x:c r="F63" s="60" t="str">
        <x:v>BACON</x:v>
      </x:c>
      <x:c r="G63" s="63" t="str">
        <x:v>07767186941</x:v>
      </x:c>
      <x:c r="H63" s="63"/>
      <x:c r="I63" s="61" t="n">
        <x:v>44013.5</x:v>
      </x:c>
      <x:c r="J63" s="64" t="n">
        <x:f>IF(OR(I63="",X63=""),"",IFERROR(DATEDIF(I63,X63,"m")/12,""))</x:f>
        <x:v>6.083333333333333</x:v>
      </x:c>
      <x:c r="K63" s="60" t="str">
        <x:v>27A REDCLIFFE SQUARE, LONDON, SW109JX</x:v>
      </x:c>
      <x:c r="L63" s="60" t="str">
        <x:v> SW109JX</x:v>
      </x:c>
      <x:c r="M63" s="60"/>
      <x:c r="N63" s="60" t="str">
        <x:v>SW109JX</x:v>
      </x:c>
      <x:c r="O63" s="61"/>
      <x:c r="P63" s="64" t="str">
        <x:f>IF(OR(O63="",I63=""),"",IFERROR(DATEDIF(O63,I63,"m")/12,""))</x:f>
      </x:c>
      <x:c r="Q63" s="60"/>
      <x:c r="R63" s="61"/>
      <x:c r="S63" s="64" t="str">
        <x:f>IF(OR(R63="",X63=""),"",IFERROR(DATEDIF(R63,X63,"m")/12,""))</x:f>
      </x:c>
      <x:c r="T63" s="60" t="str">
        <x:v>PILLAR PROPERTY MANAGEMENT</x:v>
      </x:c>
      <x:c r="U63" s="60"/>
      <x:c r="V63" s="60"/>
      <x:c r="W63" s="63"/>
      <x:c r="X63" s="65" t="n">
        <x:f>TODAY()</x:f>
        <x:v>46250</x:v>
      </x:c>
    </x:row>
    <x:row r="64">
      <x:c r="A64" s="59" t="str">
        <x:v>BARTLETT</x:v>
      </x:c>
      <x:c r="B64" s="60" t="str">
        <x:v>DAVID</x:v>
      </x:c>
      <x:c r="C64" s="60" t="str">
        <x:v>PAUL</x:v>
      </x:c>
      <x:c r="D64" s="61" t="n">
        <x:v>29601.5</x:v>
      </x:c>
      <x:c r="E64" s="62" t="n">
        <x:f>IF(OR(D64="",X64=""),"",IFERROR(DATEDIF(D64,X64,"y"),""))</x:f>
        <x:v>45</x:v>
      </x:c>
      <x:c r="F64" s="60" t="str">
        <x:v>BUNNING</x:v>
      </x:c>
      <x:c r="G64" s="63"/>
      <x:c r="H64" s="63"/>
      <x:c r="I64" s="61" t="n">
        <x:v>41518.5</x:v>
      </x:c>
      <x:c r="J64" s="64" t="n">
        <x:f>IF(OR(I64="",X64=""),"",IFERROR(DATEDIF(I64,X64,"m")/12,""))</x:f>
        <x:v>12.916666666666666</x:v>
      </x:c>
      <x:c r="K64" s="60" t="str">
        <x:v>FLAT 2, 13 BREWER STREET, LONDON, W1F 0RH</x:v>
      </x:c>
      <x:c r="L64" s="60" t="str">
        <x:v> W1F 0RH</x:v>
      </x:c>
      <x:c r="M64" s="60"/>
      <x:c r="N64" s="60" t="str">
        <x:v>W1F 0RH</x:v>
      </x:c>
      <x:c r="O64" s="61"/>
      <x:c r="P64" s="64" t="str">
        <x:f>IF(OR(O64="",I64=""),"",IFERROR(DATEDIF(O64,I64,"m")/12,""))</x:f>
      </x:c>
      <x:c r="Q64" s="60"/>
      <x:c r="R64" s="61" t="n">
        <x:v>37895.5</x:v>
      </x:c>
      <x:c r="S64" s="64" t="n">
        <x:f>IF(OR(R64="",X64=""),"",IFERROR(DATEDIF(R64,X64,"m")/12,""))</x:f>
        <x:v>22.833333333333332</x:v>
      </x:c>
      <x:c r="T64" s="60" t="str">
        <x:v>HEAD OF DIGITAL CHANNEL</x:v>
      </x:c>
      <x:c r="U64" s="60" t="str">
        <x:v>JP MORGAN</x:v>
      </x:c>
      <x:c r="V64" s="60" t="str">
        <x:v>25 BANK STREET, LONDON, SE14 5JP</x:v>
      </x:c>
      <x:c r="W64" s="63" t="str">
        <x:v>02077424000</x:v>
      </x:c>
      <x:c r="X64" s="65" t="n">
        <x:f>TODAY()</x:f>
        <x:v>46250</x:v>
      </x:c>
    </x:row>
    <x:row r="65">
      <x:c r="A65" s="59" t="str">
        <x:v>BASS</x:v>
      </x:c>
      <x:c r="B65" s="60" t="str">
        <x:v>DAVID</x:v>
      </x:c>
      <x:c r="C65" s="60" t="str">
        <x:v>WILLIAM</x:v>
      </x:c>
      <x:c r="D65" s="61" t="n">
        <x:v>30614.5</x:v>
      </x:c>
      <x:c r="E65" s="62" t="n">
        <x:f>IF(OR(D65="",X65=""),"",IFERROR(DATEDIF(D65,X65,"y"),""))</x:f>
        <x:v>42</x:v>
      </x:c>
      <x:c r="F65" s="60"/>
      <x:c r="G65" s="63"/>
      <x:c r="H65" s="63" t="str">
        <x:v>JS206542C</x:v>
      </x:c>
      <x:c r="I65" s="61"/>
      <x:c r="J65" s="64" t="str">
        <x:f>IF(OR(I65="",X65=""),"",IFERROR(DATEDIF(I65,X65,"m")/12,""))</x:f>
      </x:c>
      <x:c r="K65" s="60" t="str">
        <x:v>FLAT 5, 44 STANHOPE GARDENS, LONDON, SW7 5QY</x:v>
      </x:c>
      <x:c r="L65" s="60" t="str">
        <x:v> SW7 5QY</x:v>
      </x:c>
      <x:c r="M65" s="60"/>
      <x:c r="N65" s="60" t="str">
        <x:v>SW7 5QY</x:v>
      </x:c>
      <x:c r="O65" s="61"/>
      <x:c r="P65" s="64" t="str">
        <x:f>IF(OR(O65="",I65=""),"",IFERROR(DATEDIF(O65,I65,"m")/12,""))</x:f>
      </x:c>
      <x:c r="Q65" s="60"/>
      <x:c r="R65" s="61"/>
      <x:c r="S65" s="64" t="str">
        <x:f>IF(OR(R65="",X65=""),"",IFERROR(DATEDIF(R65,X65,"m")/12,""))</x:f>
      </x:c>
      <x:c r="T65" s="60"/>
      <x:c r="U65" s="60"/>
      <x:c r="V65" s="60"/>
      <x:c r="W65" s="63"/>
      <x:c r="X65" s="65" t="n">
        <x:f>TODAY()</x:f>
        <x:v>46250</x:v>
      </x:c>
    </x:row>
    <x:row r="66">
      <x:c r="A66" s="59" t="str">
        <x:v>BATAILLE</x:v>
      </x:c>
      <x:c r="B66" s="60" t="str">
        <x:v>AUGUSTINE</x:v>
      </x:c>
      <x:c r="C66" s="60" t="str">
        <x:v>JOSEPH</x:v>
      </x:c>
      <x:c r="D66" s="61" t="n">
        <x:v>28628.5</x:v>
      </x:c>
      <x:c r="E66" s="62" t="n">
        <x:f>IF(OR(D66="",X66=""),"",IFERROR(DATEDIF(D66,X66,"y"),""))</x:f>
        <x:v>48</x:v>
      </x:c>
      <x:c r="F66" s="60"/>
      <x:c r="G66" s="63"/>
      <x:c r="H66" s="63"/>
      <x:c r="I66" s="61" t="n">
        <x:v>39295.5</x:v>
      </x:c>
      <x:c r="J66" s="64" t="n">
        <x:f>IF(OR(I66="",X66=""),"",IFERROR(DATEDIF(I66,X66,"m")/12,""))</x:f>
        <x:v>19</x:v>
      </x:c>
      <x:c r="K66" s="60" t="str">
        <x:v>FLAT 1, 52 QUEENS GATE GARDENS, LONDON, SW7 SNF</x:v>
      </x:c>
      <x:c r="L66" s="60" t="str">
        <x:v> SW7 SNF</x:v>
      </x:c>
      <x:c r="M66" s="60"/>
      <x:c r="N66" s="60" t="str">
        <x:v>SW7 SNF</x:v>
      </x:c>
      <x:c r="O66" s="61"/>
      <x:c r="P66" s="64" t="str">
        <x:f>IF(OR(O66="",I66=""),"",IFERROR(DATEDIF(O66,I66,"m")/12,""))</x:f>
      </x:c>
      <x:c r="Q66" s="60"/>
      <x:c r="R66" s="61" t="n">
        <x:v>44562.5</x:v>
      </x:c>
      <x:c r="S66" s="64" t="n">
        <x:f>IF(OR(R66="",X66=""),"",IFERROR(DATEDIF(R66,X66,"m")/12,""))</x:f>
        <x:v>4.583333333333333</x:v>
      </x:c>
      <x:c r="T66" s="60" t="str">
        <x:v>HEAD OF CUSTOMER &amp; PARTNER ENABLEMENT</x:v>
      </x:c>
      <x:c r="U66" s="60" t="str">
        <x:v>ACTIVEVIAM</x:v>
      </x:c>
      <x:c r="V66" s="60" t="str">
        <x:v>SHAFTESBURY HOUSE, 151 SHAFTESBURY AVE, LONDON WC2H 8AL</x:v>
      </x:c>
      <x:c r="W66" s="63" t="str">
        <x:v>02078368820</x:v>
      </x:c>
      <x:c r="X66" s="65" t="n">
        <x:f>TODAY()</x:f>
        <x:v>46250</x:v>
      </x:c>
    </x:row>
    <x:row r="67">
      <x:c r="A67" s="59" t="str">
        <x:v>BATISTA ROLIM </x:v>
      </x:c>
      <x:c r="B67" s="60" t="str">
        <x:v>AIRTON</x:v>
      </x:c>
      <x:c r="C67" s="60"/>
      <x:c r="D67" s="61" t="n">
        <x:v>30947.5</x:v>
      </x:c>
      <x:c r="E67" s="62" t="n">
        <x:f>IF(OR(D67="",X67=""),"",IFERROR(DATEDIF(D67,X67,"y"),""))</x:f>
        <x:v>41</x:v>
      </x:c>
      <x:c r="F67" s="60" t="str">
        <x:v>LIMA`</x:v>
      </x:c>
      <x:c r="G67" s="63"/>
      <x:c r="H67" s="63"/>
      <x:c r="I67" s="61" t="n">
        <x:v>45261.5</x:v>
      </x:c>
      <x:c r="J67" s="64" t="n">
        <x:f>IF(OR(I67="",X67=""),"",IFERROR(DATEDIF(I67,X67,"m")/12,""))</x:f>
        <x:v>2.6666666666666665</x:v>
      </x:c>
      <x:c r="K67" s="60" t="str">
        <x:v>FLAT 6, RUTLAND COURT, 21-23 DRAYCOYTT PLACE, LONDON,SW3 2SQ</x:v>
      </x:c>
      <x:c r="L67" s="60" t="str">
        <x:v>SW3 2SQ</x:v>
      </x:c>
      <x:c r="M67" s="60" t="str">
        <x:v>SW3 2SQ</x:v>
      </x:c>
      <x:c r="N67" s="60"/>
      <x:c r="O67" s="61"/>
      <x:c r="P67" s="64" t="str">
        <x:f>IF(OR(O67="",I67=""),"",IFERROR(DATEDIF(O67,I67,"m")/12,""))</x:f>
      </x:c>
      <x:c r="Q67" s="60"/>
      <x:c r="R67" s="61"/>
      <x:c r="S67" s="64" t="str">
        <x:f>IF(OR(R67="",X67=""),"",IFERROR(DATEDIF(R67,X67,"m")/12,""))</x:f>
      </x:c>
      <x:c r="T67" s="60"/>
      <x:c r="U67" s="60"/>
      <x:c r="V67" s="60"/>
      <x:c r="W67" s="63"/>
      <x:c r="X67" s="65" t="n">
        <x:f>TODAY()</x:f>
        <x:v>46250</x:v>
      </x:c>
    </x:row>
    <x:row r="68">
      <x:c r="A68" s="59" t="str">
        <x:v>BAXTER</x:v>
      </x:c>
      <x:c r="B68" s="60" t="str">
        <x:v>KATHERINE</x:v>
      </x:c>
      <x:c r="C68" s="60"/>
      <x:c r="D68" s="61" t="n">
        <x:v>31516.5</x:v>
      </x:c>
      <x:c r="E68" s="62" t="n">
        <x:f>IF(OR(D68="",X68=""),"",IFERROR(DATEDIF(D68,X68,"y"),""))</x:f>
        <x:v>40</x:v>
      </x:c>
      <x:c r="F68" s="60" t="str">
        <x:v>WINTERS</x:v>
      </x:c>
      <x:c r="G68" s="63" t="str">
        <x:v>07398131986</x:v>
      </x:c>
      <x:c r="H68" s="63"/>
      <x:c r="I68" s="61" t="n">
        <x:v>42767.5</x:v>
      </x:c>
      <x:c r="J68" s="64" t="n">
        <x:f>IF(OR(I68="",X68=""),"",IFERROR(DATEDIF(I68,X68,"m")/12,""))</x:f>
        <x:v>9.5</x:v>
      </x:c>
      <x:c r="K68" s="60" t="str">
        <x:v>FLAT 1, 45 BREWER STREET, LONDON, W1F 9UE</x:v>
      </x:c>
      <x:c r="L68" s="60" t="str">
        <x:v> W1F 9UE</x:v>
      </x:c>
      <x:c r="M68" s="60"/>
      <x:c r="N68" s="60" t="str">
        <x:v>W1F 9UE</x:v>
      </x:c>
      <x:c r="O68" s="61"/>
      <x:c r="P68" s="64" t="str">
        <x:f>IF(OR(O68="",I68=""),"",IFERROR(DATEDIF(O68,I68,"m")/12,""))</x:f>
      </x:c>
      <x:c r="Q68" s="60"/>
      <x:c r="R68" s="61" t="n">
        <x:v>42795.5</x:v>
      </x:c>
      <x:c r="S68" s="64" t="n">
        <x:f>IF(OR(R68="",X68=""),"",IFERROR(DATEDIF(R68,X68,"m")/12,""))</x:f>
        <x:v>9.416666666666666</x:v>
      </x:c>
      <x:c r="T68" s="60" t="str">
        <x:v>FILM PRODUCER/ MANAGING DIRECTOR</x:v>
      </x:c>
      <x:c r="U68" s="60"/>
      <x:c r="V68" s="60"/>
      <x:c r="W68" s="63"/>
      <x:c r="X68" s="65" t="n">
        <x:f>TODAY()</x:f>
        <x:v>46250</x:v>
      </x:c>
    </x:row>
    <x:row r="69">
      <x:c r="A69" s="59" t="str">
        <x:v>BECKETT</x:v>
      </x:c>
      <x:c r="B69" s="60" t="str">
        <x:v>ELIZABETH</x:v>
      </x:c>
      <x:c r="C69" s="60" t="str">
        <x:v>ALISON</x:v>
      </x:c>
      <x:c r="D69" s="61" t="n">
        <x:v>18875.5</x:v>
      </x:c>
      <x:c r="E69" s="62" t="n">
        <x:f>IF(OR(D69="",X69=""),"",IFERROR(DATEDIF(D69,X69,"y"),""))</x:f>
        <x:v>74</x:v>
      </x:c>
      <x:c r="F69" s="60"/>
      <x:c r="G69" s="63" t="str">
        <x:v>07553213935</x:v>
      </x:c>
      <x:c r="H69" s="63"/>
      <x:c r="I69" s="61"/>
      <x:c r="J69" s="64" t="str">
        <x:f>IF(OR(I69="",X69=""),"",IFERROR(DATEDIF(I69,X69,"m")/12,""))</x:f>
      </x:c>
      <x:c r="K69" s="60" t="str">
        <x:v>FLAT 1,ARGYLL COURT, 82-84 LEXHAM GARDENS, LONDON, W8 5JB</x:v>
      </x:c>
      <x:c r="L69" s="60" t="str">
        <x:v> W8 5JB</x:v>
      </x:c>
      <x:c r="M69" s="60"/>
      <x:c r="N69" s="60" t="str">
        <x:v>W8 5JB</x:v>
      </x:c>
      <x:c r="O69" s="61"/>
      <x:c r="P69" s="64" t="str">
        <x:f>IF(OR(O69="",I69=""),"",IFERROR(DATEDIF(O69,I69,"m")/12,""))</x:f>
      </x:c>
      <x:c r="Q69" s="60"/>
      <x:c r="R69" s="61"/>
      <x:c r="S69" s="64" t="str">
        <x:f>IF(OR(R69="",X69=""),"",IFERROR(DATEDIF(R69,X69,"m")/12,""))</x:f>
      </x:c>
      <x:c r="T69" s="60"/>
      <x:c r="U69" s="60"/>
      <x:c r="V69" s="60"/>
      <x:c r="W69" s="63"/>
      <x:c r="X69" s="65" t="n">
        <x:f>TODAY()</x:f>
        <x:v>46250</x:v>
      </x:c>
    </x:row>
    <x:row r="70">
      <x:c r="A70" s="59" t="str">
        <x:v>BELLEN</x:v>
      </x:c>
      <x:c r="B70" s="60" t="str">
        <x:v>CLAUDIO</x:v>
      </x:c>
      <x:c r="C70" s="60"/>
      <x:c r="D70" s="61" t="n">
        <x:v>30927.5</x:v>
      </x:c>
      <x:c r="E70" s="62" t="n">
        <x:f>IF(OR(D70="",X70=""),"",IFERROR(DATEDIF(D70,X70,"y"),""))</x:f>
        <x:v>41</x:v>
      </x:c>
      <x:c r="F70" s="60"/>
      <x:c r="G70" s="63"/>
      <x:c r="H70" s="63"/>
      <x:c r="I70" s="61" t="n">
        <x:v>43313.5</x:v>
      </x:c>
      <x:c r="J70" s="64" t="n">
        <x:f>IF(OR(I70="",X70=""),"",IFERROR(DATEDIF(I70,X70,"m")/12,""))</x:f>
        <x:v>8</x:v>
      </x:c>
      <x:c r="K70" s="60" t="str">
        <x:v>64B SAINT JOHNS ROAD, LONDON, SW11 1PS</x:v>
      </x:c>
      <x:c r="L70" s="60" t="str">
        <x:v> SW11 1PS</x:v>
      </x:c>
      <x:c r="M70" s="60"/>
      <x:c r="N70" s="60" t="str">
        <x:v>SW11 1PS</x:v>
      </x:c>
      <x:c r="O70" s="61" t="n">
        <x:v>41760.5</x:v>
      </x:c>
      <x:c r="P70" s="64" t="n">
        <x:f>IF(OR(O70="",I70=""),"",IFERROR(DATEDIF(O70,I70,"m")/12,""))</x:f>
        <x:v>4.25</x:v>
      </x:c>
      <x:c r="Q70" s="60"/>
      <x:c r="R70" s="61"/>
      <x:c r="S70" s="64" t="str">
        <x:f>IF(OR(R70="",X70=""),"",IFERROR(DATEDIF(R70,X70,"m")/12,""))</x:f>
      </x:c>
      <x:c r="T70" s="60"/>
      <x:c r="U70" s="60"/>
      <x:c r="V70" s="60"/>
      <x:c r="W70" s="63"/>
      <x:c r="X70" s="65" t="n">
        <x:f>TODAY()</x:f>
        <x:v>46250</x:v>
      </x:c>
    </x:row>
    <x:row r="71">
      <x:c r="A71" s="59" t="str">
        <x:v>BELLINI</x:v>
      </x:c>
      <x:c r="B71" s="60" t="str">
        <x:v>CARLO</x:v>
      </x:c>
      <x:c r="C71" s="60"/>
      <x:c r="D71" s="61" t="n">
        <x:v>30744.5</x:v>
      </x:c>
      <x:c r="E71" s="62" t="n">
        <x:f>IF(OR(D71="",X71=""),"",IFERROR(DATEDIF(D71,X71,"y"),""))</x:f>
        <x:v>42</x:v>
      </x:c>
      <x:c r="F71" s="60"/>
      <x:c r="G71" s="63"/>
      <x:c r="H71" s="63"/>
      <x:c r="I71" s="61"/>
      <x:c r="J71" s="64" t="str">
        <x:f>IF(OR(I71="",X71=""),"",IFERROR(DATEDIF(I71,X71,"m")/12,""))</x:f>
      </x:c>
      <x:c r="K71" s="60"/>
      <x:c r="L71" s="60"/>
      <x:c r="M71" s="60"/>
      <x:c r="N71" s="60"/>
      <x:c r="O71" s="61"/>
      <x:c r="P71" s="64" t="str">
        <x:f>IF(OR(O71="",I71=""),"",IFERROR(DATEDIF(O71,I71,"m")/12,""))</x:f>
      </x:c>
      <x:c r="Q71" s="60"/>
      <x:c r="R71" s="61"/>
      <x:c r="S71" s="64" t="str">
        <x:f>IF(OR(R71="",X71=""),"",IFERROR(DATEDIF(R71,X71,"m")/12,""))</x:f>
      </x:c>
      <x:c r="T71" s="60"/>
      <x:c r="U71" s="60"/>
      <x:c r="V71" s="60"/>
      <x:c r="W71" s="63"/>
      <x:c r="X71" s="65" t="n">
        <x:f>TODAY()</x:f>
        <x:v>46250</x:v>
      </x:c>
    </x:row>
    <x:row r="72">
      <x:c r="A72" s="59" t="str">
        <x:v>BELLOS</x:v>
      </x:c>
      <x:c r="B72" s="60" t="str">
        <x:v>VASILEIOS</x:v>
      </x:c>
      <x:c r="C72" s="60"/>
      <x:c r="D72" s="61" t="n">
        <x:v>33440.5</x:v>
      </x:c>
      <x:c r="E72" s="62" t="n">
        <x:f>IF(OR(D72="",X72=""),"",IFERROR(DATEDIF(D72,X72,"y"),""))</x:f>
        <x:v>35</x:v>
      </x:c>
      <x:c r="F72" s="60" t="str">
        <x:v>BELLOS</x:v>
      </x:c>
      <x:c r="G72" s="63" t="str">
        <x:v>07425184319</x:v>
      </x:c>
      <x:c r="H72" s="63"/>
      <x:c r="I72" s="61"/>
      <x:c r="J72" s="64" t="str">
        <x:f>IF(OR(I72="",X72=""),"",IFERROR(DATEDIF(I72,X72,"m")/12,""))</x:f>
      </x:c>
      <x:c r="K72" s="60"/>
      <x:c r="L72" s="60"/>
      <x:c r="M72" s="60"/>
      <x:c r="N72" s="60"/>
      <x:c r="O72" s="61"/>
      <x:c r="P72" s="64" t="str">
        <x:f>IF(OR(O72="",I72=""),"",IFERROR(DATEDIF(O72,I72,"m")/12,""))</x:f>
      </x:c>
      <x:c r="Q72" s="60"/>
      <x:c r="R72" s="61"/>
      <x:c r="S72" s="64" t="str">
        <x:f>IF(OR(R72="",X72=""),"",IFERROR(DATEDIF(R72,X72,"m")/12,""))</x:f>
      </x:c>
      <x:c r="T72" s="60"/>
      <x:c r="U72" s="60"/>
      <x:c r="V72" s="60"/>
      <x:c r="W72" s="63"/>
      <x:c r="X72" s="65" t="n">
        <x:f>TODAY()</x:f>
        <x:v>46250</x:v>
      </x:c>
    </x:row>
    <x:row r="73">
      <x:c r="A73" s="59" t="str">
        <x:v>BELLOSSI</x:v>
      </x:c>
      <x:c r="B73" s="60" t="str">
        <x:v>SARAH</x:v>
      </x:c>
      <x:c r="C73" s="60"/>
      <x:c r="D73" s="61" t="n">
        <x:v>31654.5</x:v>
      </x:c>
      <x:c r="E73" s="62" t="n">
        <x:f>IF(OR(D73="",X73=""),"",IFERROR(DATEDIF(D73,X73,"y"),""))</x:f>
        <x:v>39</x:v>
      </x:c>
      <x:c r="F73" s="60" t="str">
        <x:v>BRULLO</x:v>
      </x:c>
      <x:c r="G73" s="63"/>
      <x:c r="H73" s="63"/>
      <x:c r="I73" s="61" t="n">
        <x:v>42461.5</x:v>
      </x:c>
      <x:c r="J73" s="64" t="n">
        <x:f>IF(OR(I73="",X73=""),"",IFERROR(DATEDIF(I73,X73,"m")/12,""))</x:f>
        <x:v>10.333333333333334</x:v>
      </x:c>
      <x:c r="K73" s="60" t="str">
        <x:v>FLAT 2, ST JOHNS HOUSE, 366 NORTH END ROAD, LONDON, SW6 1LY</x:v>
      </x:c>
      <x:c r="L73" s="60" t="str">
        <x:v> SW6 1LY</x:v>
      </x:c>
      <x:c r="M73" s="60"/>
      <x:c r="N73" s="60" t="str">
        <x:v>SW6 1LY</x:v>
      </x:c>
      <x:c r="O73" s="61"/>
      <x:c r="P73" s="64" t="str">
        <x:f>IF(OR(O73="",I73=""),"",IFERROR(DATEDIF(O73,I73,"m")/12,""))</x:f>
      </x:c>
      <x:c r="Q73" s="60"/>
      <x:c r="R73" s="61"/>
      <x:c r="S73" s="64" t="str">
        <x:f>IF(OR(R73="",X73=""),"",IFERROR(DATEDIF(R73,X73,"m")/12,""))</x:f>
      </x:c>
      <x:c r="T73" s="60"/>
      <x:c r="U73" s="60"/>
      <x:c r="V73" s="60"/>
      <x:c r="W73" s="63"/>
      <x:c r="X73" s="65" t="n">
        <x:f>TODAY()</x:f>
        <x:v>46250</x:v>
      </x:c>
    </x:row>
    <x:row r="74">
      <x:c r="A74" s="59" t="str">
        <x:v>BEN-HAIM</x:v>
      </x:c>
      <x:c r="B74" s="60" t="str">
        <x:v>AMIT</x:v>
      </x:c>
      <x:c r="C74" s="60"/>
      <x:c r="D74" s="61" t="n">
        <x:v>21978.5</x:v>
      </x:c>
      <x:c r="E74" s="62" t="n">
        <x:f>IF(OR(D74="",X74=""),"",IFERROR(DATEDIF(D74,X74,"y"),""))</x:f>
        <x:v>66</x:v>
      </x:c>
      <x:c r="F74" s="60"/>
      <x:c r="G74" s="63"/>
      <x:c r="H74" s="63"/>
      <x:c r="I74" s="61" t="n">
        <x:v>45689.5</x:v>
      </x:c>
      <x:c r="J74" s="64" t="n">
        <x:f>IF(OR(I74="",X74=""),"",IFERROR(DATEDIF(I74,X74,"m")/12,""))</x:f>
        <x:v>1.5</x:v>
      </x:c>
      <x:c r="K74" s="60" t="str">
        <x:v>FLAT 7, 37-39, DRAYCOTT PLACE, LONDON, SW3 2SH</x:v>
      </x:c>
      <x:c r="L74" s="60" t="str">
        <x:v> SW3 2SH</x:v>
      </x:c>
      <x:c r="M74" s="60"/>
      <x:c r="N74" s="60" t="str">
        <x:v>SW3 2SH</x:v>
      </x:c>
      <x:c r="O74" s="61"/>
      <x:c r="P74" s="64" t="str">
        <x:f>IF(OR(O74="",I74=""),"",IFERROR(DATEDIF(O74,I74,"m")/12,""))</x:f>
      </x:c>
      <x:c r="Q74" s="60"/>
      <x:c r="R74" s="61"/>
      <x:c r="S74" s="64" t="str">
        <x:f>IF(OR(R74="",X74=""),"",IFERROR(DATEDIF(R74,X74,"m")/12,""))</x:f>
      </x:c>
      <x:c r="T74" s="60"/>
      <x:c r="U74" s="60"/>
      <x:c r="V74" s="60"/>
      <x:c r="W74" s="63"/>
      <x:c r="X74" s="65" t="n">
        <x:f>TODAY()</x:f>
        <x:v>46250</x:v>
      </x:c>
    </x:row>
    <x:row r="75">
      <x:c r="A75" s="59" t="str">
        <x:v>BEN-HAIM</x:v>
      </x:c>
      <x:c r="B75" s="60" t="str">
        <x:v>SABINE</x:v>
      </x:c>
      <x:c r="C75" s="60"/>
      <x:c r="D75" s="61" t="n">
        <x:v>24491.5</x:v>
      </x:c>
      <x:c r="E75" s="62" t="n">
        <x:f>IF(OR(D75="",X75=""),"",IFERROR(DATEDIF(D75,X75,"y"),""))</x:f>
        <x:v>59</x:v>
      </x:c>
      <x:c r="F75" s="60" t="str">
        <x:v>BRUYNS</x:v>
      </x:c>
      <x:c r="G75" s="63"/>
      <x:c r="H75" s="63"/>
      <x:c r="I75" s="61" t="n">
        <x:v>45690.5</x:v>
      </x:c>
      <x:c r="J75" s="64" t="n">
        <x:f>IF(OR(I75="",X75=""),"",IFERROR(DATEDIF(I75,X75,"m")/12,""))</x:f>
        <x:v>1.5</x:v>
      </x:c>
      <x:c r="K75" s="60" t="str">
        <x:v>FLAT 7, 37-39, DRAYCOTT PLACE, LONDON, SW3 2SH</x:v>
      </x:c>
      <x:c r="L75" s="60" t="str">
        <x:v> SW3 2SH</x:v>
      </x:c>
      <x:c r="M75" s="60"/>
      <x:c r="N75" s="60" t="str">
        <x:v>SW3 2SH</x:v>
      </x:c>
      <x:c r="O75" s="61"/>
      <x:c r="P75" s="64" t="str">
        <x:f>IF(OR(O75="",I75=""),"",IFERROR(DATEDIF(O75,I75,"m")/12,""))</x:f>
      </x:c>
      <x:c r="Q75" s="60"/>
      <x:c r="R75" s="61"/>
      <x:c r="S75" s="64" t="str">
        <x:f>IF(OR(R75="",X75=""),"",IFERROR(DATEDIF(R75,X75,"m")/12,""))</x:f>
      </x:c>
      <x:c r="T75" s="60"/>
      <x:c r="U75" s="60"/>
      <x:c r="V75" s="60"/>
      <x:c r="W75" s="63"/>
      <x:c r="X75" s="65" t="n">
        <x:f>TODAY()</x:f>
        <x:v>46250</x:v>
      </x:c>
    </x:row>
    <x:row r="76">
      <x:c r="A76" s="59" t="str">
        <x:v>BENNET</x:v>
      </x:c>
      <x:c r="B76" s="60" t="str">
        <x:v>FRANCIS</x:v>
      </x:c>
      <x:c r="C76" s="60" t="str">
        <x:v>ALEXANDER</x:v>
      </x:c>
      <x:c r="D76" s="61" t="n">
        <x:v>19911.5</x:v>
      </x:c>
      <x:c r="E76" s="62" t="n">
        <x:f>IF(OR(D76="",X76=""),"",IFERROR(DATEDIF(D76,X76,"y"),""))</x:f>
        <x:v>72</x:v>
      </x:c>
      <x:c r="F76" s="60" t="str">
        <x:v>FENTON</x:v>
      </x:c>
      <x:c r="G76" s="63"/>
      <x:c r="H76" s="63"/>
      <x:c r="I76" s="61"/>
      <x:c r="J76" s="64" t="str">
        <x:f>IF(OR(I76="",X76=""),"",IFERROR(DATEDIF(I76,X76,"m")/12,""))</x:f>
      </x:c>
      <x:c r="K76" s="60" t="str">
        <x:v>FLAT 8, 13 NEVERN SQUARE, LONDON, SW5 9NW</x:v>
      </x:c>
      <x:c r="L76" s="60" t="str">
        <x:v> SW5 9NW</x:v>
      </x:c>
      <x:c r="M76" s="60"/>
      <x:c r="N76" s="60" t="str">
        <x:v>SW5 9NW</x:v>
      </x:c>
      <x:c r="O76" s="61"/>
      <x:c r="P76" s="64" t="str">
        <x:f>IF(OR(O76="",I76=""),"",IFERROR(DATEDIF(O76,I76,"m")/12,""))</x:f>
      </x:c>
      <x:c r="Q76" s="60"/>
      <x:c r="R76" s="61"/>
      <x:c r="S76" s="64" t="str">
        <x:f>IF(OR(R76="",X76=""),"",IFERROR(DATEDIF(R76,X76,"m")/12,""))</x:f>
      </x:c>
      <x:c r="T76" s="60"/>
      <x:c r="U76" s="60"/>
      <x:c r="V76" s="60"/>
      <x:c r="W76" s="63"/>
      <x:c r="X76" s="65" t="n">
        <x:f>TODAY()</x:f>
        <x:v>46250</x:v>
      </x:c>
    </x:row>
    <x:row r="77">
      <x:c r="A77" s="59" t="str">
        <x:v>BERGAMINI</x:v>
      </x:c>
      <x:c r="B77" s="60" t="str">
        <x:v>MATTEO</x:v>
      </x:c>
      <x:c r="C77" s="60" t="str">
        <x:v>GIULIO LIVIO</x:v>
      </x:c>
      <x:c r="D77" s="61" t="n">
        <x:v>33751.5</x:v>
      </x:c>
      <x:c r="E77" s="62" t="n">
        <x:f>IF(OR(D77="",X77=""),"",IFERROR(DATEDIF(D77,X77,"y"),""))</x:f>
        <x:v>34</x:v>
      </x:c>
      <x:c r="F77" s="60"/>
      <x:c r="G77" s="63"/>
      <x:c r="H77" s="63"/>
      <x:c r="I77" s="61" t="n">
        <x:v>43862.5</x:v>
      </x:c>
      <x:c r="J77" s="64" t="n">
        <x:f>IF(OR(I77="",X77=""),"",IFERROR(DATEDIF(I77,X77,"m")/12,""))</x:f>
        <x:v>6.5</x:v>
      </x:c>
      <x:c r="K77" s="60" t="str">
        <x:v>240 PORTOBELLO ROAD STUDIO 1 NOTTING HILL LONDON W11 1LL</x:v>
      </x:c>
      <x:c r="L77" s="60"/>
      <x:c r="M77" s="60"/>
      <x:c r="N77" s="60"/>
      <x:c r="O77" s="61"/>
      <x:c r="P77" s="64" t="str">
        <x:f>IF(OR(O77="",I77=""),"",IFERROR(DATEDIF(O77,I77,"m")/12,""))</x:f>
      </x:c>
      <x:c r="Q77" s="60"/>
      <x:c r="R77" s="61"/>
      <x:c r="S77" s="64" t="str">
        <x:f>IF(OR(R77="",X77=""),"",IFERROR(DATEDIF(R77,X77,"m")/12,""))</x:f>
      </x:c>
      <x:c r="T77" s="60"/>
      <x:c r="U77" s="60"/>
      <x:c r="V77" s="60"/>
      <x:c r="W77" s="63"/>
      <x:c r="X77" s="65" t="n">
        <x:f>TODAY()</x:f>
        <x:v>46250</x:v>
      </x:c>
    </x:row>
    <x:row r="78">
      <x:c r="A78" s="59" t="str">
        <x:v>BERMAN</x:v>
      </x:c>
      <x:c r="B78" s="60" t="str">
        <x:v>FREDERICK</x:v>
      </x:c>
      <x:c r="C78" s="60" t="str">
        <x:v>JAMES</x:v>
      </x:c>
      <x:c r="D78" s="61"/>
      <x:c r="E78" s="62" t="str">
        <x:f>IF(OR(D78="",X78=""),"",IFERROR(DATEDIF(D78,X78,"y"),""))</x:f>
      </x:c>
      <x:c r="F78" s="60" t="str">
        <x:v>GRIFFITHS</x:v>
      </x:c>
      <x:c r="G78" s="63"/>
      <x:c r="H78" s="63"/>
      <x:c r="I78" s="61" t="n">
        <x:v>43374.5</x:v>
      </x:c>
      <x:c r="J78" s="64" t="n">
        <x:f>IF(OR(I78="",X78=""),"",IFERROR(DATEDIF(I78,X78,"m")/12,""))</x:f>
        <x:v>7.833333333333333</x:v>
      </x:c>
      <x:c r="K78" s="60"/>
      <x:c r="L78" s="60"/>
      <x:c r="M78" s="60"/>
      <x:c r="N78" s="60"/>
      <x:c r="O78" s="61"/>
      <x:c r="P78" s="64" t="str">
        <x:f>IF(OR(O78="",I78=""),"",IFERROR(DATEDIF(O78,I78,"m")/12,""))</x:f>
      </x:c>
      <x:c r="Q78" s="60"/>
      <x:c r="R78" s="61"/>
      <x:c r="S78" s="64" t="str">
        <x:f>IF(OR(R78="",X78=""),"",IFERROR(DATEDIF(R78,X78,"m")/12,""))</x:f>
      </x:c>
      <x:c r="T78" s="60"/>
      <x:c r="U78" s="60"/>
      <x:c r="V78" s="60"/>
      <x:c r="W78" s="63"/>
      <x:c r="X78" s="65" t="n">
        <x:f>TODAY()</x:f>
        <x:v>46250</x:v>
      </x:c>
    </x:row>
    <x:row r="79">
      <x:c r="A79" s="59" t="str">
        <x:v>BERNSTEIN</x:v>
      </x:c>
      <x:c r="B79" s="60" t="str">
        <x:v>JOEL</x:v>
      </x:c>
      <x:c r="C79" s="60" t="str">
        <x:v>MANUEL</x:v>
      </x:c>
      <x:c r="D79" s="61" t="n">
        <x:v>23588.5</x:v>
      </x:c>
      <x:c r="E79" s="62" t="n">
        <x:f>IF(OR(D79="",X79=""),"",IFERROR(DATEDIF(D79,X79,"y"),""))</x:f>
        <x:v>62</x:v>
      </x:c>
      <x:c r="F79" s="60"/>
      <x:c r="G79" s="63" t="str">
        <x:v>07407602643</x:v>
      </x:c>
      <x:c r="H79" s="63"/>
      <x:c r="I79" s="61" t="n">
        <x:v>42125.5</x:v>
      </x:c>
      <x:c r="J79" s="64" t="n">
        <x:f>IF(OR(I79="",X79=""),"",IFERROR(DATEDIF(I79,X79,"m")/12,""))</x:f>
        <x:v>11.25</x:v>
      </x:c>
      <x:c r="K79" s="60" t="str">
        <x:v>GROUND FLOOR, 15 CAVENDISH ROAD, LONDON, NW6 7XT</x:v>
      </x:c>
      <x:c r="L79" s="60" t="str">
        <x:v> NW6 7XT</x:v>
      </x:c>
      <x:c r="M79" s="60"/>
      <x:c r="N79" s="60" t="str">
        <x:v>NW6 7XT</x:v>
      </x:c>
      <x:c r="O79" s="61" t="n">
        <x:v>40057.5</x:v>
      </x:c>
      <x:c r="P79" s="64" t="n">
        <x:f>IF(OR(O79="",I79=""),"",IFERROR(DATEDIF(O79,I79,"m")/12,""))</x:f>
        <x:v>5.666666666666667</x:v>
      </x:c>
      <x:c r="Q79" s="60" t="str">
        <x:v>93 GREEN LANE, EDGWARE, HA8 8EL</x:v>
      </x:c>
      <x:c r="R79" s="61"/>
      <x:c r="S79" s="64" t="str">
        <x:f>IF(OR(R79="",X79=""),"",IFERROR(DATEDIF(R79,X79,"m")/12,""))</x:f>
      </x:c>
      <x:c r="T79" s="60"/>
      <x:c r="U79" s="60"/>
      <x:c r="V79" s="60"/>
      <x:c r="W79" s="63"/>
      <x:c r="X79" s="65" t="n">
        <x:f>TODAY()</x:f>
        <x:v>46250</x:v>
      </x:c>
    </x:row>
    <x:row r="80">
      <x:c r="A80" s="59" t="str">
        <x:v>BESSEGHIR</x:v>
      </x:c>
      <x:c r="B80" s="60" t="str">
        <x:v>KARIM</x:v>
      </x:c>
      <x:c r="C80" s="60"/>
      <x:c r="D80" s="61" t="n">
        <x:v>31390.5</x:v>
      </x:c>
      <x:c r="E80" s="62" t="n">
        <x:f>IF(OR(D80="",X80=""),"",IFERROR(DATEDIF(D80,X80,"y"),""))</x:f>
        <x:v>40</x:v>
      </x:c>
      <x:c r="F80" s="60"/>
      <x:c r="G80" s="63" t="str">
        <x:v>07407478928</x:v>
      </x:c>
      <x:c r="H80" s="63"/>
      <x:c r="I80" s="61"/>
      <x:c r="J80" s="64" t="str">
        <x:f>IF(OR(I80="",X80=""),"",IFERROR(DATEDIF(I80,X80,"m")/12,""))</x:f>
      </x:c>
      <x:c r="K80" s="60" t="str">
        <x:v>FLAT E, 1 QUEENS GATE PLACE, LONDON, SW7 5NS</x:v>
      </x:c>
      <x:c r="L80" s="60" t="str">
        <x:v> SW7 5NS</x:v>
      </x:c>
      <x:c r="M80" s="60"/>
      <x:c r="N80" s="60" t="str">
        <x:v>SW7 5NS</x:v>
      </x:c>
      <x:c r="O80" s="61"/>
      <x:c r="P80" s="64" t="str">
        <x:f>IF(OR(O80="",I80=""),"",IFERROR(DATEDIF(O80,I80,"m")/12,""))</x:f>
      </x:c>
      <x:c r="Q80" s="60"/>
      <x:c r="R80" s="61" t="n">
        <x:v>43709.5</x:v>
      </x:c>
      <x:c r="S80" s="64" t="n">
        <x:f>IF(OR(R80="",X80=""),"",IFERROR(DATEDIF(R80,X80,"m")/12,""))</x:f>
        <x:v>6.916666666666667</x:v>
      </x:c>
      <x:c r="T80" s="60" t="str">
        <x:v>SENIOR VICE PRESIDENT</x:v>
      </x:c>
      <x:c r="U80" s="60" t="str">
        <x:v>DEUTSCHE BANK</x:v>
      </x:c>
      <x:c r="V80" s="60" t="str">
        <x:v>1 APPOLD STREET, BROADGATE, LONDON, EC2A 2HE</x:v>
      </x:c>
      <x:c r="W80" s="63"/>
      <x:c r="X80" s="65" t="n">
        <x:f>TODAY()</x:f>
        <x:v>46250</x:v>
      </x:c>
    </x:row>
    <x:row r="81">
      <x:c r="A81" s="59" t="str">
        <x:v>BIGMORE</x:v>
      </x:c>
      <x:c r="B81" s="60" t="str">
        <x:v>ALEXIS</x:v>
      </x:c>
      <x:c r="C81" s="60" t="str">
        <x:v>JONATHAN</x:v>
      </x:c>
      <x:c r="D81" s="61" t="n">
        <x:v>26485.5</x:v>
      </x:c>
      <x:c r="E81" s="62" t="n">
        <x:f>IF(OR(D81="",X81=""),"",IFERROR(DATEDIF(D81,X81,"y"),""))</x:f>
        <x:v>54</x:v>
      </x:c>
      <x:c r="F81" s="60" t="str">
        <x:v>THORNBORROW</x:v>
      </x:c>
      <x:c r="G81" s="63" t="str">
        <x:v>07908851046</x:v>
      </x:c>
      <x:c r="H81" s="63"/>
      <x:c r="I81" s="61" t="n">
        <x:v>38473.5</x:v>
      </x:c>
      <x:c r="J81" s="64" t="n">
        <x:f>IF(OR(I81="",X81=""),"",IFERROR(DATEDIF(I81,X81,"m")/12,""))</x:f>
        <x:v>21.25</x:v>
      </x:c>
      <x:c r="K81" s="60" t="str">
        <x:v>27A QUEEN'S GATE GARDENS, LONDON, SW7 5RP</x:v>
      </x:c>
      <x:c r="L81" s="60" t="str">
        <x:v> SW7 5RP</x:v>
      </x:c>
      <x:c r="M81" s="60"/>
      <x:c r="N81" s="60" t="str">
        <x:v>SW7 5RP</x:v>
      </x:c>
      <x:c r="O81" s="61"/>
      <x:c r="P81" s="64" t="str">
        <x:f>IF(OR(O81="",I81=""),"",IFERROR(DATEDIF(O81,I81,"m")/12,""))</x:f>
      </x:c>
      <x:c r="Q81" s="60"/>
      <x:c r="R81" s="61"/>
      <x:c r="S81" s="64" t="str">
        <x:f>IF(OR(R81="",X81=""),"",IFERROR(DATEDIF(R81,X81,"m")/12,""))</x:f>
      </x:c>
      <x:c r="T81" s="60"/>
      <x:c r="U81" s="60"/>
      <x:c r="V81" s="60"/>
      <x:c r="W81" s="63"/>
      <x:c r="X81" s="65" t="n">
        <x:f>TODAY()</x:f>
        <x:v>46250</x:v>
      </x:c>
    </x:row>
    <x:row r="82">
      <x:c r="A82" s="59" t="str">
        <x:v>BILLOCH</x:v>
      </x:c>
      <x:c r="B82" s="60" t="str">
        <x:v>NORBERT</x:v>
      </x:c>
      <x:c r="C82" s="60" t="str">
        <x:v>GIMENO</x:v>
      </x:c>
      <x:c r="D82" s="61" t="n">
        <x:v>35277.5</x:v>
      </x:c>
      <x:c r="E82" s="62" t="n">
        <x:f>IF(OR(D82="",X82=""),"",IFERROR(DATEDIF(D82,X82,"y"),""))</x:f>
        <x:v>30</x:v>
      </x:c>
      <x:c r="F82" s="60"/>
      <x:c r="G82" s="63"/>
      <x:c r="H82" s="63"/>
      <x:c r="I82" s="61"/>
      <x:c r="J82" s="64" t="str">
        <x:f>IF(OR(I82="",X82=""),"",IFERROR(DATEDIF(I82,X82,"m")/12,""))</x:f>
      </x:c>
      <x:c r="K82" s="60" t="str">
        <x:v>47A CLANRICARDE GARDENS, LONDON, W2 4JN</x:v>
      </x:c>
      <x:c r="L82" s="60" t="str">
        <x:v> W2 4JN</x:v>
      </x:c>
      <x:c r="M82" s="60"/>
      <x:c r="N82" s="60" t="str">
        <x:v>W2 4JN</x:v>
      </x:c>
      <x:c r="O82" s="61"/>
      <x:c r="P82" s="64" t="str">
        <x:f>IF(OR(O82="",I82=""),"",IFERROR(DATEDIF(O82,I82,"m")/12,""))</x:f>
      </x:c>
      <x:c r="Q82" s="60"/>
      <x:c r="R82" s="61"/>
      <x:c r="S82" s="64" t="str">
        <x:f>IF(OR(R82="",X82=""),"",IFERROR(DATEDIF(R82,X82,"m")/12,""))</x:f>
      </x:c>
      <x:c r="T82" s="60"/>
      <x:c r="U82" s="60"/>
      <x:c r="V82" s="60"/>
      <x:c r="W82" s="63"/>
      <x:c r="X82" s="65" t="n">
        <x:f>TODAY()</x:f>
        <x:v>46250</x:v>
      </x:c>
    </x:row>
    <x:row r="83">
      <x:c r="A83" s="59" t="str">
        <x:v>BINCOLETTO</x:v>
      </x:c>
      <x:c r="B83" s="60" t="str">
        <x:v>CLAUDIO</x:v>
      </x:c>
      <x:c r="C83" s="60"/>
      <x:c r="D83" s="61" t="n">
        <x:v>23099.5</x:v>
      </x:c>
      <x:c r="E83" s="62" t="n">
        <x:f>IF(OR(D83="",X83=""),"",IFERROR(DATEDIF(D83,X83,"y"),""))</x:f>
        <x:v>63</x:v>
      </x:c>
      <x:c r="F83" s="60"/>
      <x:c r="G83" s="63"/>
      <x:c r="H83" s="63"/>
      <x:c r="I83" s="61"/>
      <x:c r="J83" s="64" t="str">
        <x:f>IF(OR(I83="",X83=""),"",IFERROR(DATEDIF(I83,X83,"m")/12,""))</x:f>
      </x:c>
      <x:c r="K83" s="60" t="str">
        <x:v>FLAT 3, 92 WESTBOURNE TERRACE, LONDON, W2 6QE</x:v>
      </x:c>
      <x:c r="L83" s="60" t="str">
        <x:v> W2 6QE</x:v>
      </x:c>
      <x:c r="M83" s="60"/>
      <x:c r="N83" s="60" t="str">
        <x:v>W2 6QE</x:v>
      </x:c>
      <x:c r="O83" s="61"/>
      <x:c r="P83" s="64" t="str">
        <x:f>IF(OR(O83="",I83=""),"",IFERROR(DATEDIF(O83,I83,"m")/12,""))</x:f>
      </x:c>
      <x:c r="Q83" s="60"/>
      <x:c r="R83" s="61"/>
      <x:c r="S83" s="64" t="str">
        <x:f>IF(OR(R83="",X83=""),"",IFERROR(DATEDIF(R83,X83,"m")/12,""))</x:f>
      </x:c>
      <x:c r="T83" s="60"/>
      <x:c r="U83" s="60"/>
      <x:c r="V83" s="60"/>
      <x:c r="W83" s="63"/>
      <x:c r="X83" s="65" t="n">
        <x:f>TODAY()</x:f>
        <x:v>46250</x:v>
      </x:c>
    </x:row>
    <x:row r="84">
      <x:c r="A84" s="59" t="str">
        <x:v>BIRKEBAEK</x:v>
      </x:c>
      <x:c r="B84" s="60" t="str">
        <x:v>THOMAS</x:v>
      </x:c>
      <x:c r="C84" s="60"/>
      <x:c r="D84" s="61" t="n">
        <x:v>32677.5</x:v>
      </x:c>
      <x:c r="E84" s="62" t="n">
        <x:f>IF(OR(D84="",X84=""),"",IFERROR(DATEDIF(D84,X84,"y"),""))</x:f>
        <x:v>37</x:v>
      </x:c>
      <x:c r="F84" s="60" t="str">
        <x:v>HANSEN</x:v>
      </x:c>
      <x:c r="G84" s="63"/>
      <x:c r="H84" s="63"/>
      <x:c r="I84" s="61" t="n">
        <x:v>43132.5</x:v>
      </x:c>
      <x:c r="J84" s="64" t="n">
        <x:f>IF(OR(I84="",X84=""),"",IFERROR(DATEDIF(I84,X84,"m")/12,""))</x:f>
        <x:v>8.5</x:v>
      </x:c>
      <x:c r="K84" s="60" t="str">
        <x:v>FLAT 2, 12A NEWBURGH STREET, LONDON, W1F 7RR</x:v>
      </x:c>
      <x:c r="L84" s="60" t="str">
        <x:v> W1F 7RR</x:v>
      </x:c>
      <x:c r="M84" s="60"/>
      <x:c r="N84" s="60" t="str">
        <x:v>W1F 7RR</x:v>
      </x:c>
      <x:c r="O84" s="61"/>
      <x:c r="P84" s="64" t="str">
        <x:f>IF(OR(O84="",I84=""),"",IFERROR(DATEDIF(O84,I84,"m")/12,""))</x:f>
      </x:c>
      <x:c r="Q84" s="60"/>
      <x:c r="R84" s="61"/>
      <x:c r="S84" s="64" t="str">
        <x:f>IF(OR(R84="",X84=""),"",IFERROR(DATEDIF(R84,X84,"m")/12,""))</x:f>
      </x:c>
      <x:c r="T84" s="60"/>
      <x:c r="U84" s="60"/>
      <x:c r="V84" s="60"/>
      <x:c r="W84" s="63"/>
      <x:c r="X84" s="65" t="n">
        <x:f>TODAY()</x:f>
        <x:v>46250</x:v>
      </x:c>
    </x:row>
    <x:row r="85">
      <x:c r="A85" s="59" t="str">
        <x:v>BISHOP</x:v>
      </x:c>
      <x:c r="B85" s="60" t="str">
        <x:v>JEMIMA</x:v>
      </x:c>
      <x:c r="C85" s="60" t="str">
        <x:v>GEORGIA</x:v>
      </x:c>
      <x:c r="D85" s="61" t="n">
        <x:v>35628.5</x:v>
      </x:c>
      <x:c r="E85" s="62" t="n">
        <x:f>IF(OR(D85="",X85=""),"",IFERROR(DATEDIF(D85,X85,"y"),""))</x:f>
        <x:v>29</x:v>
      </x:c>
      <x:c r="F85" s="60" t="str">
        <x:v>BISHOP</x:v>
      </x:c>
      <x:c r="G85" s="63"/>
      <x:c r="H85" s="63"/>
      <x:c r="I85" s="61" t="n">
        <x:v>43556.5</x:v>
      </x:c>
      <x:c r="J85" s="64" t="n">
        <x:f>IF(OR(I85="",X85=""),"",IFERROR(DATEDIF(I85,X85,"m")/12,""))</x:f>
        <x:v>7.333333333333333</x:v>
      </x:c>
      <x:c r="K85" s="60" t="str">
        <x:v>FLAT C, 4 QUEENS GATE PLACE, LONDON, SW7 5NT</x:v>
      </x:c>
      <x:c r="L85" s="60" t="str">
        <x:v> SW7 5NT</x:v>
      </x:c>
      <x:c r="M85" s="60"/>
      <x:c r="N85" s="60" t="str">
        <x:v>SW7 5NT</x:v>
      </x:c>
      <x:c r="O85" s="61"/>
      <x:c r="P85" s="64" t="str">
        <x:f>IF(OR(O85="",I85=""),"",IFERROR(DATEDIF(O85,I85,"m")/12,""))</x:f>
      </x:c>
      <x:c r="Q85" s="60"/>
      <x:c r="R85" s="61"/>
      <x:c r="S85" s="64" t="str">
        <x:f>IF(OR(R85="",X85=""),"",IFERROR(DATEDIF(R85,X85,"m")/12,""))</x:f>
      </x:c>
      <x:c r="T85" s="60"/>
      <x:c r="U85" s="60"/>
      <x:c r="V85" s="60"/>
      <x:c r="W85" s="63"/>
      <x:c r="X85" s="65" t="n">
        <x:f>TODAY()</x:f>
        <x:v>46250</x:v>
      </x:c>
    </x:row>
    <x:row r="86">
      <x:c r="A86" s="59" t="str">
        <x:v>BISSON</x:v>
      </x:c>
      <x:c r="B86" s="60" t="str">
        <x:v>ANTOINE</x:v>
      </x:c>
      <x:c r="C86" s="60" t="str">
        <x:v>SEBASTIEN GERARD</x:v>
      </x:c>
      <x:c r="D86" s="61" t="n">
        <x:v>27185.5</x:v>
      </x:c>
      <x:c r="E86" s="62" t="n">
        <x:f>IF(OR(D86="",X86=""),"",IFERROR(DATEDIF(D86,X86,"y"),""))</x:f>
        <x:v>52</x:v>
      </x:c>
      <x:c r="F86" s="60"/>
      <x:c r="G86" s="63" t="str">
        <x:v>07495367560</x:v>
      </x:c>
      <x:c r="H86" s="63"/>
      <x:c r="I86" s="61" t="n">
        <x:v>40695.5</x:v>
      </x:c>
      <x:c r="J86" s="64" t="n">
        <x:f>IF(OR(I86="",X86=""),"",IFERROR(DATEDIF(I86,X86,"m")/12,""))</x:f>
        <x:v>15.166666666666666</x:v>
      </x:c>
      <x:c r="K86" s="60" t="str">
        <x:v>FLAT 6, 52 QUEENS GATE GARDENS, LONDON, SW7 5NF</x:v>
      </x:c>
      <x:c r="L86" s="60" t="str">
        <x:v> SW7 5NF</x:v>
      </x:c>
      <x:c r="M86" s="60"/>
      <x:c r="N86" s="60" t="str">
        <x:v>SW7 5NF</x:v>
      </x:c>
      <x:c r="O86" s="61" t="n">
        <x:v>37377.5</x:v>
      </x:c>
      <x:c r="P86" s="64" t="n">
        <x:f>IF(OR(O86="",I86=""),"",IFERROR(DATEDIF(O86,I86,"m")/12,""))</x:f>
        <x:v>9.083333333333334</x:v>
      </x:c>
      <x:c r="Q86" s="60" t="str">
        <x:v>FLAT 6, GOODWOOD COURT,54-57 DEVONSHIRE STREET, LONDON, W1W 5DZ</x:v>
      </x:c>
      <x:c r="R86" s="61" t="n">
        <x:v>41275.5</x:v>
      </x:c>
      <x:c r="S86" s="64" t="n">
        <x:f>IF(OR(R86="",X86=""),"",IFERROR(DATEDIF(R86,X86,"m")/12,""))</x:f>
        <x:v>13.583333333333334</x:v>
      </x:c>
      <x:c r="T86" s="60" t="str">
        <x:v>HEAD OF EXECUTION</x:v>
      </x:c>
      <x:c r="U86" s="60" t="str">
        <x:v>EXANE BNP PARIBAS</x:v>
      </x:c>
      <x:c r="V86" s="60" t="str">
        <x:v>1 HANOVER ST, LONDON W1S 1YZ</x:v>
      </x:c>
      <x:c r="W86" s="63" t="str">
        <x:v>020 7039 9400</x:v>
      </x:c>
      <x:c r="X86" s="65" t="n">
        <x:f>TODAY()</x:f>
        <x:v>46250</x:v>
      </x:c>
    </x:row>
    <x:row r="87">
      <x:c r="A87" s="59" t="str">
        <x:v>BISSON</x:v>
      </x:c>
      <x:c r="B87" s="60" t="str">
        <x:v>KRYSZIA</x:v>
      </x:c>
      <x:c r="C87" s="60" t="str">
        <x:v>ELISABETH MARIA</x:v>
      </x:c>
      <x:c r="D87" s="61" t="n">
        <x:v>31259.5</x:v>
      </x:c>
      <x:c r="E87" s="62" t="n">
        <x:f>IF(OR(D87="",X87=""),"",IFERROR(DATEDIF(D87,X87,"y"),""))</x:f>
        <x:v>41</x:v>
      </x:c>
      <x:c r="F87" s="60" t="str">
        <x:v>DE NAHLIK</x:v>
      </x:c>
      <x:c r="G87" s="63" t="str">
        <x:v>07917154503</x:v>
      </x:c>
      <x:c r="H87" s="63"/>
      <x:c r="I87" s="61" t="n">
        <x:v>40695.5</x:v>
      </x:c>
      <x:c r="J87" s="64" t="n">
        <x:f>IF(OR(I87="",X87=""),"",IFERROR(DATEDIF(I87,X87,"m")/12,""))</x:f>
        <x:v>15.166666666666666</x:v>
      </x:c>
      <x:c r="K87" s="60" t="str">
        <x:v>FLAT 6, 52 QUEENS GATE GARDENS, LONDON, SW7 5NF</x:v>
      </x:c>
      <x:c r="L87" s="60" t="str">
        <x:v> SW7 5NF</x:v>
      </x:c>
      <x:c r="M87" s="60"/>
      <x:c r="N87" s="60" t="str">
        <x:v>SW7 5NF</x:v>
      </x:c>
      <x:c r="O87" s="61"/>
      <x:c r="P87" s="64" t="str">
        <x:f>IF(OR(O87="",I87=""),"",IFERROR(DATEDIF(O87,I87,"m")/12,""))</x:f>
      </x:c>
      <x:c r="Q87" s="60"/>
      <x:c r="R87" s="61" t="n">
        <x:v>43466.5</x:v>
      </x:c>
      <x:c r="S87" s="64" t="n">
        <x:f>IF(OR(R87="",X87=""),"",IFERROR(DATEDIF(R87,X87,"m")/12,""))</x:f>
        <x:v>7.583333333333333</x:v>
      </x:c>
      <x:c r="T87" s="60" t="str">
        <x:v>RELATIONSHIP DIRECTOR</x:v>
      </x:c>
      <x:c r="U87" s="60" t="str">
        <x:v>COALITION DEVELOPMENT</x:v>
      </x:c>
      <x:c r="V87" s="60" t="str">
        <x:v>20 CANADA SQUARE, LONDON, E14 5LH</x:v>
      </x:c>
      <x:c r="W87" s="63"/>
      <x:c r="X87" s="65" t="n">
        <x:f>TODAY()</x:f>
        <x:v>46250</x:v>
      </x:c>
    </x:row>
    <x:row r="88">
      <x:c r="A88" s="59" t="str">
        <x:v>BJOERKMAN</x:v>
      </x:c>
      <x:c r="B88" s="60" t="str">
        <x:v>HENRIK</x:v>
      </x:c>
      <x:c r="C88" s="60" t="str">
        <x:v>OLA</x:v>
      </x:c>
      <x:c r="D88" s="61" t="n">
        <x:v>30034.5</x:v>
      </x:c>
      <x:c r="E88" s="62" t="n">
        <x:f>IF(OR(D88="",X88=""),"",IFERROR(DATEDIF(D88,X88,"y"),""))</x:f>
        <x:v>44</x:v>
      </x:c>
      <x:c r="F88" s="60" t="str">
        <x:v>LARSSON</x:v>
      </x:c>
      <x:c r="G88" s="63" t="str">
        <x:v>07377708341</x:v>
      </x:c>
      <x:c r="H88" s="63"/>
      <x:c r="I88" s="61"/>
      <x:c r="J88" s="64" t="str">
        <x:f>IF(OR(I88="",X88=""),"",IFERROR(DATEDIF(I88,X88,"m")/12,""))</x:f>
      </x:c>
      <x:c r="K88" s="60" t="str">
        <x:v>FLAT E, 19 EARLS COURT SQUARE, LONDON, SW5 9BY</x:v>
      </x:c>
      <x:c r="L88" s="60" t="str">
        <x:v> SW5 9BY</x:v>
      </x:c>
      <x:c r="M88" s="60"/>
      <x:c r="N88" s="60" t="str">
        <x:v>SW5 9BY</x:v>
      </x:c>
      <x:c r="O88" s="61"/>
      <x:c r="P88" s="64" t="str">
        <x:f>IF(OR(O88="",I88=""),"",IFERROR(DATEDIF(O88,I88,"m")/12,""))</x:f>
      </x:c>
      <x:c r="Q88" s="60"/>
      <x:c r="R88" s="61" t="n">
        <x:v>44378.5</x:v>
      </x:c>
      <x:c r="S88" s="64" t="n">
        <x:f>IF(OR(R88="",X88=""),"",IFERROR(DATEDIF(R88,X88,"m")/12,""))</x:f>
        <x:v>5.083333333333333</x:v>
      </x:c>
      <x:c r="T88" s="60" t="str">
        <x:v>ASSOCIATE RELATIONSHIP MANAGER</x:v>
      </x:c>
      <x:c r="U88" s="60" t="str">
        <x:v>ICBC (LONDON) LIMITED</x:v>
      </x:c>
      <x:c r="V88" s="60" t="str">
        <x:v>20 GRESHAM ST, LONDON EC2V 7JE</x:v>
      </x:c>
      <x:c r="W88" s="63" t="str">
        <x:v>0203 145 5000</x:v>
      </x:c>
      <x:c r="X88" s="65" t="n">
        <x:f>TODAY()</x:f>
        <x:v>46250</x:v>
      </x:c>
    </x:row>
    <x:row r="89">
      <x:c r="A89" s="59" t="str">
        <x:v>BJÖRKLUND</x:v>
      </x:c>
      <x:c r="B89" s="60" t="str">
        <x:v>PATRIK</x:v>
      </x:c>
      <x:c r="C89" s="60" t="str">
        <x:v>CHRISTIAN PHILIP</x:v>
      </x:c>
      <x:c r="D89" s="61" t="n">
        <x:v>34223.5</x:v>
      </x:c>
      <x:c r="E89" s="62" t="n">
        <x:f>IF(OR(D89="",X89=""),"",IFERROR(DATEDIF(D89,X89,"y"),""))</x:f>
        <x:v>32</x:v>
      </x:c>
      <x:c r="F89" s="60"/>
      <x:c r="G89" s="63"/>
      <x:c r="H89" s="63"/>
      <x:c r="I89" s="61"/>
      <x:c r="J89" s="64" t="str">
        <x:f>IF(OR(I89="",X89=""),"",IFERROR(DATEDIF(I89,X89,"m")/12,""))</x:f>
      </x:c>
      <x:c r="K89" s="60" t="str">
        <x:v>FLAT 5, 8 WINDMILL DRIVE SW4 9DE, LONDON</x:v>
      </x:c>
      <x:c r="L89" s="60"/>
      <x:c r="M89" s="60"/>
      <x:c r="N89" s="60"/>
      <x:c r="O89" s="61"/>
      <x:c r="P89" s="64" t="str">
        <x:f>IF(OR(O89="",I89=""),"",IFERROR(DATEDIF(O89,I89,"m")/12,""))</x:f>
      </x:c>
      <x:c r="Q89" s="60"/>
      <x:c r="R89" s="61"/>
      <x:c r="S89" s="64" t="str">
        <x:f>IF(OR(R89="",X89=""),"",IFERROR(DATEDIF(R89,X89,"m")/12,""))</x:f>
      </x:c>
      <x:c r="T89" s="60"/>
      <x:c r="U89" s="60"/>
      <x:c r="V89" s="60"/>
      <x:c r="W89" s="63"/>
      <x:c r="X89" s="65" t="n">
        <x:f>TODAY()</x:f>
        <x:v>46250</x:v>
      </x:c>
    </x:row>
    <x:row r="90">
      <x:c r="A90" s="59" t="str">
        <x:v>BLAHUTA</x:v>
      </x:c>
      <x:c r="B90" s="60" t="str">
        <x:v>ADAM</x:v>
      </x:c>
      <x:c r="C90" s="60"/>
      <x:c r="D90" s="61" t="n">
        <x:v>36357.5</x:v>
      </x:c>
      <x:c r="E90" s="62" t="n">
        <x:f>IF(OR(D90="",X90=""),"",IFERROR(DATEDIF(D90,X90,"y"),""))</x:f>
        <x:v>27</x:v>
      </x:c>
      <x:c r="F90" s="60"/>
      <x:c r="G90" s="63"/>
      <x:c r="H90" s="63"/>
      <x:c r="I90" s="61"/>
      <x:c r="J90" s="64" t="str">
        <x:f>IF(OR(I90="",X90=""),"",IFERROR(DATEDIF(I90,X90,"m")/12,""))</x:f>
      </x:c>
      <x:c r="K90" s="60" t="str">
        <x:v>1 QUEENS GATE PLACE, LONDON, SW7 5NS</x:v>
      </x:c>
      <x:c r="L90" s="60" t="str">
        <x:v> SW7 5NS</x:v>
      </x:c>
      <x:c r="M90" s="60"/>
      <x:c r="N90" s="60" t="str">
        <x:v>SW7 5NS</x:v>
      </x:c>
      <x:c r="O90" s="61"/>
      <x:c r="P90" s="64" t="str">
        <x:f>IF(OR(O90="",I90=""),"",IFERROR(DATEDIF(O90,I90,"m")/12,""))</x:f>
      </x:c>
      <x:c r="Q90" s="60"/>
      <x:c r="R90" s="61" t="n">
        <x:v>44652.5</x:v>
      </x:c>
      <x:c r="S90" s="64" t="n">
        <x:f>IF(OR(R90="",X90=""),"",IFERROR(DATEDIF(R90,X90,"m")/12,""))</x:f>
        <x:v>4.333333333333333</x:v>
      </x:c>
      <x:c r="T90" s="60" t="str">
        <x:v>FUNDS PARALEGAL</x:v>
      </x:c>
      <x:c r="U90" s="60" t="str">
        <x:v>SIMPSON, THACHER &amp; BARTLETT LLP</x:v>
      </x:c>
      <x:c r="V90" s="60" t="str">
        <x:v>FIFTH FLOOR, 7 SOHO SQUARE, LONDON W1D 3QB</x:v>
      </x:c>
      <x:c r="W90" s="63"/>
      <x:c r="X90" s="65" t="n">
        <x:f>TODAY()</x:f>
        <x:v>46250</x:v>
      </x:c>
    </x:row>
    <x:row r="91">
      <x:c r="A91" s="59" t="str">
        <x:v>BLAKSTAD</x:v>
      </x:c>
      <x:c r="B91" s="60" t="str">
        <x:v>ELEANOR</x:v>
      </x:c>
      <x:c r="C91" s="60" t="str">
        <x:v>BLAIR</x:v>
      </x:c>
      <x:c r="D91" s="61" t="n">
        <x:v>33817.5</x:v>
      </x:c>
      <x:c r="E91" s="62" t="n">
        <x:f>IF(OR(D91="",X91=""),"",IFERROR(DATEDIF(D91,X91,"y"),""))</x:f>
        <x:v>34</x:v>
      </x:c>
      <x:c r="F91" s="60" t="str">
        <x:v>HUNTER</x:v>
      </x:c>
      <x:c r="G91" s="63"/>
      <x:c r="H91" s="63"/>
      <x:c r="I91" s="61" t="n">
        <x:v>43586.5</x:v>
      </x:c>
      <x:c r="J91" s="64" t="n">
        <x:f>IF(OR(I91="",X91=""),"",IFERROR(DATEDIF(I91,X91,"m")/12,""))</x:f>
        <x:v>7.25</x:v>
      </x:c>
      <x:c r="K91" s="60" t="str">
        <x:v>36 STANMERT STREET, LONDON,N SW11 3HQ</x:v>
      </x:c>
      <x:c r="L91" s="60" t="str">
        <x:v>N SW11 3HQ</x:v>
      </x:c>
      <x:c r="M91" s="60"/>
      <x:c r="N91" s="60" t="str">
        <x:v>SW11 3HQ</x:v>
      </x:c>
      <x:c r="O91" s="61"/>
      <x:c r="P91" s="64" t="str">
        <x:f>IF(OR(O91="",I91=""),"",IFERROR(DATEDIF(O91,I91,"m")/12,""))</x:f>
      </x:c>
      <x:c r="Q91" s="60" t="str">
        <x:v>CHURCHFIELD FARM, TOWN END ROAD, RADNAGE, HP14 4DY</x:v>
      </x:c>
      <x:c r="R91" s="61" t="n">
        <x:v>42401.5</x:v>
      </x:c>
      <x:c r="S91" s="64" t="n">
        <x:f>IF(OR(R91="",X91=""),"",IFERROR(DATEDIF(R91,X91,"m")/12,""))</x:f>
        <x:v>10.5</x:v>
      </x:c>
      <x:c r="T91" s="60" t="str">
        <x:v>MANAGER</x:v>
      </x:c>
      <x:c r="U91" s="60" t="str">
        <x:v>ACCENTURE</x:v>
      </x:c>
      <x:c r="V91" s="60"/>
      <x:c r="W91" s="63"/>
      <x:c r="X91" s="65" t="n">
        <x:f>TODAY()</x:f>
        <x:v>46250</x:v>
      </x:c>
    </x:row>
    <x:row r="92">
      <x:c r="A92" s="59" t="str">
        <x:v>BLAKSTAD</x:v>
      </x:c>
      <x:c r="B92" s="60" t="str">
        <x:v>OLIVIA</x:v>
      </x:c>
      <x:c r="C92" s="60" t="str">
        <x:v>FRANCES</x:v>
      </x:c>
      <x:c r="D92" s="61" t="n">
        <x:v>34394.5</x:v>
      </x:c>
      <x:c r="E92" s="62" t="n">
        <x:f>IF(OR(D92="",X92=""),"",IFERROR(DATEDIF(D92,X92,"y"),""))</x:f>
        <x:v>32</x:v>
      </x:c>
      <x:c r="F92" s="60" t="str">
        <x:v>HUNTER</x:v>
      </x:c>
      <x:c r="G92" s="63"/>
      <x:c r="H92" s="63"/>
      <x:c r="I92" s="61" t="n">
        <x:v>43586.5</x:v>
      </x:c>
      <x:c r="J92" s="64" t="n">
        <x:f>IF(OR(I92="",X92=""),"",IFERROR(DATEDIF(I92,X92,"m")/12,""))</x:f>
        <x:v>7.25</x:v>
      </x:c>
      <x:c r="K92" s="60" t="str">
        <x:v>36 STANMERT STREET, LONDON,N SW11 3HQ</x:v>
      </x:c>
      <x:c r="L92" s="60" t="str">
        <x:v>N SW11 3HQ</x:v>
      </x:c>
      <x:c r="M92" s="60"/>
      <x:c r="N92" s="60" t="str">
        <x:v>SW11 3HQ</x:v>
      </x:c>
      <x:c r="O92" s="61"/>
      <x:c r="P92" s="64" t="str">
        <x:f>IF(OR(O92="",I92=""),"",IFERROR(DATEDIF(O92,I92,"m")/12,""))</x:f>
      </x:c>
      <x:c r="Q92" s="60" t="str">
        <x:v>CHURCHFIELD FARM, TOWN END ROAD, RADNAGE, HP14 4DY</x:v>
      </x:c>
      <x:c r="R92" s="61" t="n">
        <x:v>43313.5</x:v>
      </x:c>
      <x:c r="S92" s="64" t="n">
        <x:f>IF(OR(R92="",X92=""),"",IFERROR(DATEDIF(R92,X92,"m")/12,""))</x:f>
        <x:v>8</x:v>
      </x:c>
      <x:c r="T92" s="60" t="str">
        <x:v>BRAND EXPERIENCE MANAGER</x:v>
      </x:c>
      <x:c r="U92" s="60" t="str">
        <x:v>CHRISTOPHER WARD LONDON LIMITED</x:v>
      </x:c>
      <x:c r="V92" s="60"/>
      <x:c r="W92" s="63"/>
      <x:c r="X92" s="65" t="n">
        <x:f>TODAY()</x:f>
        <x:v>46250</x:v>
      </x:c>
    </x:row>
    <x:row r="93">
      <x:c r="A93" s="59" t="str">
        <x:v>BLASIO</x:v>
      </x:c>
      <x:c r="B93" s="60" t="str">
        <x:v>BEATRICE</x:v>
      </x:c>
      <x:c r="C93" s="60"/>
      <x:c r="D93" s="61" t="n">
        <x:v>33434.5</x:v>
      </x:c>
      <x:c r="E93" s="62" t="n">
        <x:f>IF(OR(D93="",X93=""),"",IFERROR(DATEDIF(D93,X93,"y"),""))</x:f>
        <x:v>35</x:v>
      </x:c>
      <x:c r="F93" s="60" t="str">
        <x:v>MINETOLA</x:v>
      </x:c>
      <x:c r="G93" s="63"/>
      <x:c r="H93" s="63" t="str">
        <x:v>SP902435D</x:v>
      </x:c>
      <x:c r="I93" s="61" t="n">
        <x:v>42491.5</x:v>
      </x:c>
      <x:c r="J93" s="64" t="n">
        <x:f>IF(OR(I93="",X93=""),"",IFERROR(DATEDIF(I93,X93,"m")/12,""))</x:f>
        <x:v>10.25</x:v>
      </x:c>
      <x:c r="K93" s="60" t="str">
        <x:v>FLAT 5, 376 NORTH END ROAD, LONDON, SW6 1LY</x:v>
      </x:c>
      <x:c r="L93" s="60" t="str">
        <x:v> SW6 1LY</x:v>
      </x:c>
      <x:c r="M93" s="60"/>
      <x:c r="N93" s="60" t="str">
        <x:v>SW6 1LY</x:v>
      </x:c>
      <x:c r="O93" s="61"/>
      <x:c r="P93" s="64" t="str">
        <x:f>IF(OR(O93="",I93=""),"",IFERROR(DATEDIF(O93,I93,"m")/12,""))</x:f>
      </x:c>
      <x:c r="Q93" s="60"/>
      <x:c r="R93" s="61" t="n">
        <x:v>43556.5</x:v>
      </x:c>
      <x:c r="S93" s="64" t="n">
        <x:f>IF(OR(R93="",X93=""),"",IFERROR(DATEDIF(R93,X93,"m")/12,""))</x:f>
        <x:v>7.333333333333333</x:v>
      </x:c>
      <x:c r="T93" s="60" t="str">
        <x:v>MARKETING MANAGER</x:v>
      </x:c>
      <x:c r="U93" s="60" t="str">
        <x:v>TANITA EUROPE BV</x:v>
      </x:c>
      <x:c r="V93" s="60" t="str">
        <x:v></x:v>
      </x:c>
      <x:c r="W93" s="63"/>
      <x:c r="X93" s="65" t="n">
        <x:f>TODAY()</x:f>
        <x:v>46250</x:v>
      </x:c>
    </x:row>
    <x:row r="94">
      <x:c r="A94" s="59" t="str">
        <x:v>BLAXLAND</x:v>
      </x:c>
      <x:c r="B94" s="60" t="str">
        <x:v>SIMON</x:v>
      </x:c>
      <x:c r="C94" s="60" t="str">
        <x:v>THOMAS</x:v>
      </x:c>
      <x:c r="D94" s="61" t="n">
        <x:v>23620.5</x:v>
      </x:c>
      <x:c r="E94" s="62" t="n">
        <x:f>IF(OR(D94="",X94=""),"",IFERROR(DATEDIF(D94,X94,"y"),""))</x:f>
        <x:v>61</x:v>
      </x:c>
      <x:c r="F94" s="60" t="str">
        <x:v>COOKE</x:v>
      </x:c>
      <x:c r="G94" s="63" t="str">
        <x:v>‭07535 521365‬</x:v>
      </x:c>
      <x:c r="H94" s="63"/>
      <x:c r="I94" s="61" t="n">
        <x:v>41275.5</x:v>
      </x:c>
      <x:c r="J94" s="64" t="n">
        <x:f>IF(OR(I94="",X94=""),"",IFERROR(DATEDIF(I94,X94,"m")/12,""))</x:f>
        <x:v>13.583333333333334</x:v>
      </x:c>
      <x:c r="K94" s="60" t="str">
        <x:v>FLAT 5, 27 REDCLIFFE SQUARE, LONDON, SW10 9JX</x:v>
      </x:c>
      <x:c r="L94" s="60" t="str">
        <x:v> SW10 9JX</x:v>
      </x:c>
      <x:c r="M94" s="60"/>
      <x:c r="N94" s="60" t="str">
        <x:v>SW10 9JX</x:v>
      </x:c>
      <x:c r="O94" s="61"/>
      <x:c r="P94" s="64" t="str">
        <x:f>IF(OR(O94="",I94=""),"",IFERROR(DATEDIF(O94,I94,"m")/12,""))</x:f>
      </x:c>
      <x:c r="Q94" s="60"/>
      <x:c r="R94" s="61" t="n">
        <x:v>41883.5</x:v>
      </x:c>
      <x:c r="S94" s="64" t="n">
        <x:f>IF(OR(R94="",X94=""),"",IFERROR(DATEDIF(R94,X94,"m")/12,""))</x:f>
        <x:v>11.916666666666666</x:v>
      </x:c>
      <x:c r="T94" s="60" t="str">
        <x:v>CHIEF EXECUTIVE OFFICER</x:v>
      </x:c>
      <x:c r="U94" s="60" t="str">
        <x:v>URO PROPERTY HOLDINGS SOCIMI SA</x:v>
      </x:c>
      <x:c r="V94" s="60" t="str">
        <x:v>PASEO DE LA CASTELLANA, 200. PLANTA 9, 28046 MADRID</x:v>
      </x:c>
      <x:c r="W94" s="63" t="str">
        <x:v>34919047144</x:v>
      </x:c>
      <x:c r="X94" s="65" t="n">
        <x:f>TODAY()</x:f>
        <x:v>46250</x:v>
      </x:c>
    </x:row>
    <x:row r="95">
      <x:c r="A95" s="59" t="str">
        <x:v>BLOND</x:v>
      </x:c>
      <x:c r="B95" s="60" t="str">
        <x:v>IRWAN</x:v>
      </x:c>
      <x:c r="C95" s="60" t="str">
        <x:v>IAN</x:v>
      </x:c>
      <x:c r="D95" s="61" t="n">
        <x:v>27867.5</x:v>
      </x:c>
      <x:c r="E95" s="62" t="n">
        <x:f>IF(OR(D95="",X95=""),"",IFERROR(DATEDIF(D95,X95,"y"),""))</x:f>
        <x:v>50</x:v>
      </x:c>
      <x:c r="F95" s="60"/>
      <x:c r="G95" s="63"/>
      <x:c r="H95" s="63"/>
      <x:c r="I95" s="61" t="n">
        <x:v>42583.5</x:v>
      </x:c>
      <x:c r="J95" s="64" t="n">
        <x:f>IF(OR(I95="",X95=""),"",IFERROR(DATEDIF(I95,X95,"m")/12,""))</x:f>
        <x:v>10</x:v>
      </x:c>
      <x:c r="K95" s="60" t="str">
        <x:v>FLAT 12, 165 CROMWELL ROAD, LODNON, SW5 0SQ</x:v>
      </x:c>
      <x:c r="L95" s="60"/>
      <x:c r="M95" s="60"/>
      <x:c r="N95" s="60"/>
      <x:c r="O95" s="61"/>
      <x:c r="P95" s="64" t="str">
        <x:f>IF(OR(O95="",I95=""),"",IFERROR(DATEDIF(O95,I95,"m")/12,""))</x:f>
      </x:c>
      <x:c r="Q95" s="60"/>
      <x:c r="R95" s="61" t="n">
        <x:v>38899.5</x:v>
      </x:c>
      <x:c r="S95" s="64" t="n">
        <x:f>IF(OR(R95="",X95=""),"",IFERROR(DATEDIF(R95,X95,"m")/12,""))</x:f>
        <x:v>20.083333333333332</x:v>
      </x:c>
      <x:c r="T95" s="60" t="str">
        <x:v>X</x:v>
      </x:c>
      <x:c r="U95" s="60" t="str">
        <x:v>HITACHI CONSULTING</x:v>
      </x:c>
      <x:c r="V95" s="60" t="str">
        <x:v>5TH FLOOR, THE FORUM, 33 GUTTER LN, LONDON EC2V 8AS</x:v>
      </x:c>
      <x:c r="W95" s="63"/>
      <x:c r="X95" s="65" t="n">
        <x:f>TODAY()</x:f>
        <x:v>46250</x:v>
      </x:c>
    </x:row>
    <x:row r="96">
      <x:c r="A96" s="59" t="str">
        <x:v>BOCOCK</x:v>
      </x:c>
      <x:c r="B96" s="60" t="str">
        <x:v>MARCUS</x:v>
      </x:c>
      <x:c r="C96" s="60" t="str">
        <x:v>JAMES</x:v>
      </x:c>
      <x:c r="D96" s="61" t="n">
        <x:v>30819.5</x:v>
      </x:c>
      <x:c r="E96" s="62" t="n">
        <x:f>IF(OR(D96="",X96=""),"",IFERROR(DATEDIF(D96,X96,"y"),""))</x:f>
        <x:v>42</x:v>
      </x:c>
      <x:c r="F96" s="60" t="str">
        <x:v>GAUKROGER</x:v>
      </x:c>
      <x:c r="G96" s="63"/>
      <x:c r="H96" s="63"/>
      <x:c r="I96" s="61" t="n">
        <x:v>41821.5</x:v>
      </x:c>
      <x:c r="J96" s="64" t="n">
        <x:f>IF(OR(I96="",X96=""),"",IFERROR(DATEDIF(I96,X96,"m")/12,""))</x:f>
        <x:v>12.083333333333334</x:v>
      </x:c>
      <x:c r="K96" s="60" t="str">
        <x:v>FLAT 2, 118 CLAPHAM COMMON WEST SIDE ,LONDON, SW49BA</x:v>
      </x:c>
      <x:c r="L96" s="60" t="str">
        <x:v> SW49BA</x:v>
      </x:c>
      <x:c r="M96" s="60"/>
      <x:c r="N96" s="60" t="str">
        <x:v>SW49BA</x:v>
      </x:c>
      <x:c r="O96" s="61"/>
      <x:c r="P96" s="64" t="str">
        <x:f>IF(OR(O96="",I96=""),"",IFERROR(DATEDIF(O96,I96,"m")/12,""))</x:f>
      </x:c>
      <x:c r="Q96" s="60"/>
      <x:c r="R96" s="61" t="n">
        <x:v>44044.5</x:v>
      </x:c>
      <x:c r="S96" s="64" t="n">
        <x:f>IF(OR(R96="",X96=""),"",IFERROR(DATEDIF(R96,X96,"m")/12,""))</x:f>
        <x:v>6</x:v>
      </x:c>
      <x:c r="T96" s="60" t="str">
        <x:v>CONSULTANT</x:v>
      </x:c>
      <x:c r="U96" s="60" t="str">
        <x:v>ARCHERS MEWS (OXSHOTT) MANAGEMENT COMPANY LTD</x:v>
      </x:c>
      <x:c r="V96" s="60"/>
      <x:c r="W96" s="63"/>
      <x:c r="X96" s="65" t="n">
        <x:f>TODAY()</x:f>
        <x:v>46250</x:v>
      </x:c>
    </x:row>
    <x:row r="97">
      <x:c r="A97" s="59" t="str">
        <x:v>BORGHERINI</x:v>
      </x:c>
      <x:c r="B97" s="60" t="str">
        <x:v>GIACOMO</x:v>
      </x:c>
      <x:c r="C97" s="60"/>
      <x:c r="D97" s="61" t="n">
        <x:v>33469.5</x:v>
      </x:c>
      <x:c r="E97" s="62" t="n">
        <x:f>IF(OR(D97="",X97=""),"",IFERROR(DATEDIF(D97,X97,"y"),""))</x:f>
        <x:v>34</x:v>
      </x:c>
      <x:c r="F97" s="60"/>
      <x:c r="G97" s="63"/>
      <x:c r="H97" s="63" t="str">
        <x:v>SS608340A</x:v>
      </x:c>
      <x:c r="I97" s="61"/>
      <x:c r="J97" s="64" t="str">
        <x:f>IF(OR(I97="",X97=""),"",IFERROR(DATEDIF(I97,X97,"m")/12,""))</x:f>
      </x:c>
      <x:c r="K97" s="60" t="str">
        <x:v>FLAT 3, 1 BARKER STREET, SWLO 9EN</x:v>
      </x:c>
      <x:c r="L97" s="60"/>
      <x:c r="M97" s="60"/>
      <x:c r="N97" s="60"/>
      <x:c r="O97" s="61"/>
      <x:c r="P97" s="64" t="str">
        <x:f>IF(OR(O97="",I97=""),"",IFERROR(DATEDIF(O97,I97,"m")/12,""))</x:f>
      </x:c>
      <x:c r="Q97" s="60"/>
      <x:c r="R97" s="61" t="n">
        <x:v>45536.5</x:v>
      </x:c>
      <x:c r="S97" s="64" t="n">
        <x:f>IF(OR(R97="",X97=""),"",IFERROR(DATEDIF(R97,X97,"m")/12,""))</x:f>
        <x:v>1.9166666666666667</x:v>
      </x:c>
      <x:c r="T97" s="60" t="str">
        <x:v>DIRECTOR</x:v>
      </x:c>
      <x:c r="U97" s="60" t="str">
        <x:v>ADVANZ PHARMA</x:v>
      </x:c>
      <x:c r="V97" s="60" t="str">
        <x:v>DASHWOOD HOUSE, 2ND FLOOR, 69 OLD BROAD STREET, LONDON, ENGLAND EC2M 1QS,</x:v>
      </x:c>
      <x:c r="W97" s="63"/>
      <x:c r="X97" s="65" t="n">
        <x:f>TODAY()</x:f>
        <x:v>46250</x:v>
      </x:c>
    </x:row>
    <x:row r="98">
      <x:c r="A98" s="59" t="str">
        <x:v>BORISOVA</x:v>
      </x:c>
      <x:c r="B98" s="60" t="str">
        <x:v>VELYANA</x:v>
      </x:c>
      <x:c r="C98" s="60"/>
      <x:c r="D98" s="61" t="n">
        <x:v>33333.5</x:v>
      </x:c>
      <x:c r="E98" s="62" t="n">
        <x:f>IF(OR(D98="",X98=""),"",IFERROR(DATEDIF(D98,X98,"y"),""))</x:f>
        <x:v>35</x:v>
      </x:c>
      <x:c r="F98" s="60"/>
      <x:c r="G98" s="63"/>
      <x:c r="H98" s="63"/>
      <x:c r="I98" s="61" t="n">
        <x:v>44075.5</x:v>
      </x:c>
      <x:c r="J98" s="64" t="n">
        <x:f>IF(OR(I98="",X98=""),"",IFERROR(DATEDIF(I98,X98,"m")/12,""))</x:f>
        <x:v>5.916666666666667</x:v>
      </x:c>
      <x:c r="K98" s="60" t="str">
        <x:v>FLAT 3, 280-282 FULHAM ROAD, LONDON,SW10 9EW</x:v>
      </x:c>
      <x:c r="L98" s="60" t="str">
        <x:v>SW10 9EW</x:v>
      </x:c>
      <x:c r="M98" s="60"/>
      <x:c r="N98" s="60" t="str">
        <x:v>SW10 9EW</x:v>
      </x:c>
      <x:c r="O98" s="61" t="n">
        <x:v>42095.5</x:v>
      </x:c>
      <x:c r="P98" s="64" t="n">
        <x:f>IF(OR(O98="",I98=""),"",IFERROR(DATEDIF(O98,I98,"m")/12,""))</x:f>
        <x:v>5.416666666666667</x:v>
      </x:c>
      <x:c r="Q98" s="60" t="str">
        <x:v>24 EARLHAM STREET, LONDON, WC2H 9LN</x:v>
      </x:c>
      <x:c r="R98" s="61" t="n">
        <x:v>43313.5</x:v>
      </x:c>
      <x:c r="S98" s="64" t="n">
        <x:f>IF(OR(R98="",X98=""),"",IFERROR(DATEDIF(R98,X98,"m")/12,""))</x:f>
        <x:v>8</x:v>
      </x:c>
      <x:c r="T98" s="60" t="str">
        <x:v>CORP-ORATE ASSOCIATE</x:v>
      </x:c>
      <x:c r="U98" s="60" t="str">
        <x:v>WITHERWORLDWIDE</x:v>
      </x:c>
      <x:c r="V98" s="60" t="str">
        <x:v>20 OLD BAILEY, LONDON, EC4M 7AM</x:v>
      </x:c>
      <x:c r="W98" s="63" t="str">
        <x:v>07877668634</x:v>
      </x:c>
      <x:c r="X98" s="65" t="n">
        <x:f>TODAY()</x:f>
        <x:v>46250</x:v>
      </x:c>
    </x:row>
    <x:row r="99">
      <x:c r="A99" s="59" t="str">
        <x:v>BORSBERRY</x:v>
      </x:c>
      <x:c r="B99" s="60" t="str">
        <x:v>MARK</x:v>
      </x:c>
      <x:c r="C99" s="60"/>
      <x:c r="D99" s="61" t="n">
        <x:v>32541.5</x:v>
      </x:c>
      <x:c r="E99" s="62" t="n">
        <x:f>IF(OR(D99="",X99=""),"",IFERROR(DATEDIF(D99,X99,"y"),""))</x:f>
        <x:v>37</x:v>
      </x:c>
      <x:c r="F99" s="60" t="str">
        <x:v>ROBISON</x:v>
      </x:c>
      <x:c r="G99" s="63"/>
      <x:c r="H99" s="63"/>
      <x:c r="I99" s="61" t="n">
        <x:v>42948.5</x:v>
      </x:c>
      <x:c r="J99" s="64" t="n">
        <x:f>IF(OR(I99="",X99=""),"",IFERROR(DATEDIF(I99,X99,"m")/12,""))</x:f>
        <x:v>9</x:v>
      </x:c>
      <x:c r="K99" s="60" t="str">
        <x:v>GROUND FLOOR, 151, DAWES ROAD, LONDON, LONDON, SW6 7EE</x:v>
      </x:c>
      <x:c r="L99" s="60" t="str">
        <x:v> LONDON, SW6 7EE</x:v>
      </x:c>
      <x:c r="M99" s="60"/>
      <x:c r="N99" s="60" t="str">
        <x:v>SW6 7EE</x:v>
      </x:c>
      <x:c r="O99" s="61" t="n">
        <x:v>42248.5</x:v>
      </x:c>
      <x:c r="P99" s="64" t="n">
        <x:f>IF(OR(O99="",I99=""),"",IFERROR(DATEDIF(O99,I99,"m")/12,""))</x:f>
        <x:v>1.9166666666666667</x:v>
      </x:c>
      <x:c r="Q99" s="60" t="str">
        <x:v>FLAT 15, 22 MOUNT PARK ROAD, LONDON, W5 2RS</x:v>
      </x:c>
      <x:c r="R99" s="61" t="n">
        <x:v>43101.5</x:v>
      </x:c>
      <x:c r="S99" s="64" t="n">
        <x:f>IF(OR(R99="",X99=""),"",IFERROR(DATEDIF(R99,X99,"m")/12,""))</x:f>
        <x:v>8.583333333333334</x:v>
      </x:c>
      <x:c r="T99" s="60" t="str">
        <x:v>SUPPLY CHAIN MANAGER</x:v>
      </x:c>
      <x:c r="U99" s="60" t="str">
        <x:v>CAWSTON PRESS</x:v>
      </x:c>
      <x:c r="V99" s="60" t="str">
        <x:v>CAWSTON PRESS OFFICE, 3 TANNER STREET, LONDON, SE1 3LE</x:v>
      </x:c>
      <x:c r="W99" s="63" t="str">
        <x:v>01536419938</x:v>
      </x:c>
      <x:c r="X99" s="65" t="n">
        <x:f>TODAY()</x:f>
        <x:v>46250</x:v>
      </x:c>
    </x:row>
    <x:row r="100">
      <x:c r="A100" s="59" t="str">
        <x:v>BOYCOTT</x:v>
      </x:c>
      <x:c r="B100" s="60" t="str">
        <x:v>DAVID</x:v>
      </x:c>
      <x:c r="C100" s="60" t="str">
        <x:v>EDWIN</x:v>
      </x:c>
      <x:c r="D100" s="61" t="n">
        <x:v>21011.5</x:v>
      </x:c>
      <x:c r="E100" s="62" t="n">
        <x:f>IF(OR(D100="",X100=""),"",IFERROR(DATEDIF(D100,X100,"y"),""))</x:f>
        <x:v>69</x:v>
      </x:c>
      <x:c r="F100" s="60"/>
      <x:c r="G100" s="63"/>
      <x:c r="H100" s="63"/>
      <x:c r="I100" s="61" t="n">
        <x:v>43132.5</x:v>
      </x:c>
      <x:c r="J100" s="64" t="n">
        <x:f>IF(OR(I100="",X100=""),"",IFERROR(DATEDIF(I100,X100,"m")/12,""))</x:f>
        <x:v>8.5</x:v>
      </x:c>
      <x:c r="K100" s="60" t="str">
        <x:v>47 ONSLOW GARDENS LONDON SW7 3PY</x:v>
      </x:c>
      <x:c r="L100" s="60"/>
      <x:c r="M100" s="60"/>
      <x:c r="N100" s="60"/>
      <x:c r="O100" s="61"/>
      <x:c r="P100" s="64" t="str">
        <x:f>IF(OR(O100="",I100=""),"",IFERROR(DATEDIF(O100,I100,"m")/12,""))</x:f>
      </x:c>
      <x:c r="Q100" s="60"/>
      <x:c r="R100" s="61"/>
      <x:c r="S100" s="64" t="str">
        <x:f>IF(OR(R100="",X100=""),"",IFERROR(DATEDIF(R100,X100,"m")/12,""))</x:f>
      </x:c>
      <x:c r="T100" s="60"/>
      <x:c r="U100" s="60"/>
      <x:c r="V100" s="60"/>
      <x:c r="W100" s="63"/>
      <x:c r="X100" s="65" t="n">
        <x:f>TODAY()</x:f>
        <x:v>46250</x:v>
      </x:c>
    </x:row>
    <x:row r="101">
      <x:c r="A101" s="59" t="str">
        <x:v>BRENNAN</x:v>
      </x:c>
      <x:c r="B101" s="60" t="str">
        <x:v>ARJUNA</x:v>
      </x:c>
      <x:c r="C101" s="60"/>
      <x:c r="D101" s="61" t="n">
        <x:v>28201.5</x:v>
      </x:c>
      <x:c r="E101" s="62" t="n">
        <x:f>IF(OR(D101="",X101=""),"",IFERROR(DATEDIF(D101,X101,"y"),""))</x:f>
        <x:v>49</x:v>
      </x:c>
      <x:c r="F101" s="60"/>
      <x:c r="G101" s="63"/>
      <x:c r="H101" s="63"/>
      <x:c r="I101" s="61" t="n">
        <x:v>39142.5</x:v>
      </x:c>
      <x:c r="J101" s="64" t="n">
        <x:f>IF(OR(I101="",X101=""),"",IFERROR(DATEDIF(I101,X101,"m")/12,""))</x:f>
        <x:v>19.416666666666668</x:v>
      </x:c>
      <x:c r="K101" s="60" t="str">
        <x:v>FLAT 4C, 4 COMYN ROAD, LONDON, SW11 1QD</x:v>
      </x:c>
      <x:c r="L101" s="60" t="str">
        <x:v> SW11 1QD</x:v>
      </x:c>
      <x:c r="M101" s="60"/>
      <x:c r="N101" s="60" t="str">
        <x:v>SW11 1QD</x:v>
      </x:c>
      <x:c r="O101" s="61"/>
      <x:c r="P101" s="64" t="str">
        <x:f>IF(OR(O101="",I101=""),"",IFERROR(DATEDIF(O101,I101,"m")/12,""))</x:f>
      </x:c>
      <x:c r="Q101" s="60"/>
      <x:c r="R101" s="61"/>
      <x:c r="S101" s="64" t="str">
        <x:f>IF(OR(R101="",X101=""),"",IFERROR(DATEDIF(R101,X101,"m")/12,""))</x:f>
      </x:c>
      <x:c r="T101" s="60"/>
      <x:c r="U101" s="60"/>
      <x:c r="V101" s="60"/>
      <x:c r="W101" s="63"/>
      <x:c r="X101" s="65" t="n">
        <x:f>TODAY()</x:f>
        <x:v>46250</x:v>
      </x:c>
    </x:row>
    <x:row r="102">
      <x:c r="A102" s="59" t="str">
        <x:v>BROGER BAREHAM</x:v>
      </x:c>
      <x:c r="B102" s="60" t="str">
        <x:v>KATHERINE</x:v>
      </x:c>
      <x:c r="C102" s="60" t="str">
        <x:v>MARGARET</x:v>
      </x:c>
      <x:c r="D102" s="61" t="n">
        <x:v>35711.5</x:v>
      </x:c>
      <x:c r="E102" s="62" t="n">
        <x:f>IF(OR(D102="",X102=""),"",IFERROR(DATEDIF(D102,X102,"y"),""))</x:f>
        <x:v>28</x:v>
      </x:c>
      <x:c r="F102" s="60" t="str">
        <x:v>BROGER</x:v>
      </x:c>
      <x:c r="G102" s="63"/>
      <x:c r="H102" s="63"/>
      <x:c r="I102" s="61" t="n">
        <x:v>44378.5</x:v>
      </x:c>
      <x:c r="J102" s="64" t="n">
        <x:f>IF(OR(I102="",X102=""),"",IFERROR(DATEDIF(I102,X102,"m")/12,""))</x:f>
        <x:v>5.083333333333333</x:v>
      </x:c>
      <x:c r="K102" s="60" t="str">
        <x:v>FLAT 1, 59 BONDWAY, LONDON, SW8 1SJ</x:v>
      </x:c>
      <x:c r="L102" s="60" t="str">
        <x:v> SW8 1SJ</x:v>
      </x:c>
      <x:c r="M102" s="60"/>
      <x:c r="N102" s="60" t="str">
        <x:v>SW8 1SJ</x:v>
      </x:c>
      <x:c r="O102" s="61" t="n">
        <x:v>43282.5</x:v>
      </x:c>
      <x:c r="P102" s="64" t="n">
        <x:f>IF(OR(O102="",I102=""),"",IFERROR(DATEDIF(O102,I102,"m")/12,""))</x:f>
        <x:v>3</x:v>
      </x:c>
      <x:c r="Q102" s="60" t="str">
        <x:v>FLAT 3, NEWHAM HOUSE, HIGHER NEWHAM LANE, NEWHAM, TRURO, TR1 2SR</x:v>
      </x:c>
      <x:c r="R102" s="61" t="n">
        <x:v>44470.5</x:v>
      </x:c>
      <x:c r="S102" s="64" t="n">
        <x:f>IF(OR(R102="",X102=""),"",IFERROR(DATEDIF(R102,X102,"m")/12,""))</x:f>
        <x:v>4.833333333333333</x:v>
      </x:c>
      <x:c r="T102" s="60" t="str">
        <x:v>PUPIL BARRISTER</x:v>
      </x:c>
      <x:c r="U102" s="60" t="str">
        <x:v>4 PAPER BUILDINGS</x:v>
      </x:c>
      <x:c r="V102" s="60" t="str">
        <x:v>6TH FLOOR, ST MARTIN’S COURT, 10 PATERNOSTER ROW, LONDON, EC4M 7HP</x:v>
      </x:c>
      <x:c r="W102" s="63" t="str">
        <x:v>0207 427 5200</x:v>
      </x:c>
      <x:c r="X102" s="65" t="n">
        <x:f>TODAY()</x:f>
        <x:v>46250</x:v>
      </x:c>
    </x:row>
    <x:row r="103">
      <x:c r="A103" s="59" t="str">
        <x:v>BROWN</x:v>
      </x:c>
      <x:c r="B103" s="60" t="str">
        <x:v>DYLAN</x:v>
      </x:c>
      <x:c r="C103" s="60" t="str">
        <x:v>ANTHONY</x:v>
      </x:c>
      <x:c r="D103" s="61" t="n">
        <x:v>35663.5</x:v>
      </x:c>
      <x:c r="E103" s="62" t="n">
        <x:f>IF(OR(D103="",X103=""),"",IFERROR(DATEDIF(D103,X103,"y"),""))</x:f>
        <x:v>28</x:v>
      </x:c>
      <x:c r="F103" s="60" t="str">
        <x:v>BROWN</x:v>
      </x:c>
      <x:c r="G103" s="63"/>
      <x:c r="H103" s="63"/>
      <x:c r="I103" s="61"/>
      <x:c r="J103" s="64" t="str">
        <x:f>IF(OR(I103="",X103=""),"",IFERROR(DATEDIF(I103,X103,"m")/12,""))</x:f>
      </x:c>
      <x:c r="K103" s="60" t="str">
        <x:v>FLAT 2, ST JOHNS HOUSE, 366 NORTH END ROAD, LONDON, SW6 1LY</x:v>
      </x:c>
      <x:c r="L103" s="60" t="str">
        <x:v> SW6 1LY</x:v>
      </x:c>
      <x:c r="M103" s="60"/>
      <x:c r="N103" s="60" t="str">
        <x:v>SW6 1LY</x:v>
      </x:c>
      <x:c r="O103" s="61"/>
      <x:c r="P103" s="64" t="str">
        <x:f>IF(OR(O103="",I103=""),"",IFERROR(DATEDIF(O103,I103,"m")/12,""))</x:f>
      </x:c>
      <x:c r="Q103" s="60"/>
      <x:c r="R103" s="61" t="n">
        <x:v>44835.5</x:v>
      </x:c>
      <x:c r="S103" s="64" t="n">
        <x:f>IF(OR(R103="",X103=""),"",IFERROR(DATEDIF(R103,X103,"m")/12,""))</x:f>
        <x:v>3.8333333333333335</x:v>
      </x:c>
      <x:c r="T103" s="60" t="str">
        <x:v>TRADING ANALYST</x:v>
      </x:c>
      <x:c r="U103" s="60" t="str">
        <x:v>ELAN CAPITAL MANAGEMENT</x:v>
      </x:c>
      <x:c r="V103" s="60" t="str">
        <x:v>116 BROMPTON ROAD, 4TH FLOOR, LONDON, SW3 1JJ</x:v>
      </x:c>
      <x:c r="W103" s="63" t="str">
        <x:v>02039914500</x:v>
      </x:c>
      <x:c r="X103" s="65" t="n">
        <x:f>TODAY()</x:f>
        <x:v>46250</x:v>
      </x:c>
    </x:row>
    <x:row r="104">
      <x:c r="A104" s="59" t="str">
        <x:v>BRUNI</x:v>
      </x:c>
      <x:c r="B104" s="60" t="str">
        <x:v>GIUSEPPE</x:v>
      </x:c>
      <x:c r="C104" s="60"/>
      <x:c r="D104" s="61" t="n">
        <x:v>31121.5</x:v>
      </x:c>
      <x:c r="E104" s="62" t="n">
        <x:f>IF(OR(D104="",X104=""),"",IFERROR(DATEDIF(D104,X104,"y"),""))</x:f>
        <x:v>41</x:v>
      </x:c>
      <x:c r="F104" s="60"/>
      <x:c r="G104" s="63"/>
      <x:c r="H104" s="63"/>
      <x:c r="I104" s="61" t="n">
        <x:v>43191.5</x:v>
      </x:c>
      <x:c r="J104" s="64" t="n">
        <x:f>IF(OR(I104="",X104=""),"",IFERROR(DATEDIF(I104,X104,"m")/12,""))</x:f>
        <x:v>8.333333333333334</x:v>
      </x:c>
      <x:c r="K104" s="60" t="str">
        <x:v>FLAT2, 53A FULHAM BROADWAY, LONDON, SW61AE</x:v>
      </x:c>
      <x:c r="L104" s="60" t="str">
        <x:v> SW61AE</x:v>
      </x:c>
      <x:c r="M104" s="60"/>
      <x:c r="N104" s="60" t="str">
        <x:v>SW61AE</x:v>
      </x:c>
      <x:c r="O104" s="61"/>
      <x:c r="P104" s="64" t="str">
        <x:f>IF(OR(O104="",I104=""),"",IFERROR(DATEDIF(O104,I104,"m")/12,""))</x:f>
      </x:c>
      <x:c r="Q104" s="60"/>
      <x:c r="R104" s="61" t="n">
        <x:v>44652.5</x:v>
      </x:c>
      <x:c r="S104" s="64" t="n">
        <x:f>IF(OR(R104="",X104=""),"",IFERROR(DATEDIF(R104,X104,"m")/12,""))</x:f>
        <x:v>4.333333333333333</x:v>
      </x:c>
      <x:c r="T104" s="60" t="str">
        <x:v>SENIOR MANAGER</x:v>
      </x:c>
      <x:c r="U104" s="60" t="str">
        <x:v>VIALTO PARTNERS</x:v>
      </x:c>
      <x:c r="V104" s="60" t="str">
        <x:v>7 MORE LONDON RIVERSIDE, LONDON SE1 2RT</x:v>
      </x:c>
      <x:c r="W104" s="63"/>
      <x:c r="X104" s="65" t="n">
        <x:f>TODAY()</x:f>
        <x:v>46250</x:v>
      </x:c>
    </x:row>
    <x:row r="105">
      <x:c r="A105" s="59" t="str">
        <x:v>BUNGART</x:v>
      </x:c>
      <x:c r="B105" s="60" t="str">
        <x:v>GINA</x:v>
      </x:c>
      <x:c r="C105" s="60" t="str">
        <x:v>LEE</x:v>
      </x:c>
      <x:c r="D105" s="61" t="n">
        <x:v>36496.5</x:v>
      </x:c>
      <x:c r="E105" s="62" t="n">
        <x:f>IF(OR(D105="",X105=""),"",IFERROR(DATEDIF(D105,X105,"y"),""))</x:f>
        <x:v>26</x:v>
      </x:c>
      <x:c r="F105" s="60"/>
      <x:c r="G105" s="63"/>
      <x:c r="H105" s="63"/>
      <x:c r="I105" s="61" t="n">
        <x:v>44287.5</x:v>
      </x:c>
      <x:c r="J105" s="64" t="n">
        <x:f>IF(OR(I105="",X105=""),"",IFERROR(DATEDIF(I105,X105,"m")/12,""))</x:f>
        <x:v>5.333333333333333</x:v>
      </x:c>
      <x:c r="K105" s="60" t="str">
        <x:v>FLAT G, 47 QUEEN’S GATE, LONDON, SW7 5JN</x:v>
      </x:c>
      <x:c r="L105" s="60" t="str">
        <x:v> SW7 5JN</x:v>
      </x:c>
      <x:c r="M105" s="60"/>
      <x:c r="N105" s="60" t="str">
        <x:v>SW7 5JN</x:v>
      </x:c>
      <x:c r="O105" s="61" t="n">
        <x:v>44166.5</x:v>
      </x:c>
      <x:c r="P105" s="64" t="n">
        <x:f>IF(OR(O105="",I105=""),"",IFERROR(DATEDIF(O105,I105,"m")/12,""))</x:f>
        <x:v>0.3333333333333333</x:v>
      </x:c>
      <x:c r="Q105" s="60" t="str">
        <x:v>FLAT 2, 104-106 WESTBOURNE TERRACE, LONDON, W2 6QE</x:v>
      </x:c>
      <x:c r="R105" s="61" t="n">
        <x:v>44986.5</x:v>
      </x:c>
      <x:c r="S105" s="64" t="n">
        <x:f>IF(OR(R105="",X105=""),"",IFERROR(DATEDIF(R105,X105,"m")/12,""))</x:f>
        <x:v>3.4166666666666665</x:v>
      </x:c>
      <x:c r="T105" s="60" t="str">
        <x:v>INVESTMENT BANKER</x:v>
      </x:c>
      <x:c r="U105" s="60" t="str">
        <x:v>DN CAPITAL</x:v>
      </x:c>
      <x:c r="V105" s="60"/>
      <x:c r="W105" s="63"/>
      <x:c r="X105" s="65" t="n">
        <x:f>TODAY()</x:f>
        <x:v>46250</x:v>
      </x:c>
    </x:row>
    <x:row r="106">
      <x:c r="A106" s="59" t="str">
        <x:v>BUORO</x:v>
      </x:c>
      <x:c r="B106" s="60" t="str">
        <x:v>MATTEO</x:v>
      </x:c>
      <x:c r="C106" s="60"/>
      <x:c r="D106" s="61" t="n">
        <x:v>33104.5</x:v>
      </x:c>
      <x:c r="E106" s="62" t="n">
        <x:f>IF(OR(D106="",X106=""),"",IFERROR(DATEDIF(D106,X106,"y"),""))</x:f>
        <x:v>35</x:v>
      </x:c>
      <x:c r="F106" s="60" t="str">
        <x:v>RUSSO</x:v>
      </x:c>
      <x:c r="G106" s="63" t="str">
        <x:v>0737660292</x:v>
      </x:c>
      <x:c r="H106" s="63" t="str">
        <x:v>ST535485B</x:v>
      </x:c>
      <x:c r="I106" s="61" t="n">
        <x:v>44378.5</x:v>
      </x:c>
      <x:c r="J106" s="64" t="n">
        <x:f>IF(OR(I106="",X106=""),"",IFERROR(DATEDIF(I106,X106,"m")/12,""))</x:f>
        <x:v>5.083333333333333</x:v>
      </x:c>
      <x:c r="K106" s="60" t="str">
        <x:v>FLAT 1, 280-282 FULHAM ROAD, LONDON, SW10 9EW</x:v>
      </x:c>
      <x:c r="L106" s="60" t="str">
        <x:v> SW10 9EW</x:v>
      </x:c>
      <x:c r="M106" s="60"/>
      <x:c r="N106" s="60" t="str">
        <x:v>SW10 9EW</x:v>
      </x:c>
      <x:c r="O106" s="61" t="n">
        <x:v>43221.5</x:v>
      </x:c>
      <x:c r="P106" s="64" t="n">
        <x:f>IF(OR(O106="",I106=""),"",IFERROR(DATEDIF(O106,I106,"m")/12,""))</x:f>
        <x:v>3.1666666666666665</x:v>
      </x:c>
      <x:c r="Q106" s="60" t="str">
        <x:v>FLAT 20, NUFFIELD LODGE, ADMIRAL WALK, LONDON, W9 3TP</x:v>
      </x:c>
      <x:c r="R106" s="61" t="n">
        <x:v>44197.5</x:v>
      </x:c>
      <x:c r="S106" s="64" t="n">
        <x:f>IF(OR(R106="",X106=""),"",IFERROR(DATEDIF(R106,X106,"m")/12,""))</x:f>
        <x:v>5.583333333333333</x:v>
      </x:c>
      <x:c r="T106" s="60" t="str">
        <x:v>TRADER</x:v>
      </x:c>
      <x:c r="U106" s="60" t="str">
        <x:v>PORTMAN SQUARE CAPITAL</x:v>
      </x:c>
      <x:c r="V106" s="60" t="str">
        <x:v>20 NORTH AUDLEY STREET, LONDON, W1K 6LX</x:v>
      </x:c>
      <x:c r="W106" s="63" t="str">
        <x:v>020 3627 6800</x:v>
      </x:c>
      <x:c r="X106" s="65" t="n">
        <x:f>TODAY()</x:f>
        <x:v>46250</x:v>
      </x:c>
    </x:row>
    <x:row r="107">
      <x:c r="A107" s="59" t="str">
        <x:v>BURANI</x:v>
      </x:c>
      <x:c r="B107" s="60" t="str">
        <x:v>GIORGIO</x:v>
      </x:c>
      <x:c r="C107" s="60"/>
      <x:c r="D107" s="61" t="n">
        <x:v>34271.5</x:v>
      </x:c>
      <x:c r="E107" s="62" t="n">
        <x:f>IF(OR(D107="",X107=""),"",IFERROR(DATEDIF(D107,X107,"y"),""))</x:f>
        <x:v>32</x:v>
      </x:c>
      <x:c r="F107" s="60"/>
      <x:c r="G107" s="63"/>
      <x:c r="H107" s="63"/>
      <x:c r="I107" s="61"/>
      <x:c r="J107" s="64" t="str">
        <x:f>IF(OR(I107="",X107=""),"",IFERROR(DATEDIF(I107,X107,"m")/12,""))</x:f>
      </x:c>
      <x:c r="K107" s="60" t="str">
        <x:v>FLAT 2, 10 SPRING STREET, LONDON, W2 3RA</x:v>
      </x:c>
      <x:c r="L107" s="60" t="str">
        <x:v> W2 3RA</x:v>
      </x:c>
      <x:c r="M107" s="60"/>
      <x:c r="N107" s="60" t="str">
        <x:v>W2 3RA</x:v>
      </x:c>
      <x:c r="O107" s="61"/>
      <x:c r="P107" s="64" t="str">
        <x:f>IF(OR(O107="",I107=""),"",IFERROR(DATEDIF(O107,I107,"m")/12,""))</x:f>
      </x:c>
      <x:c r="Q107" s="60" t="str">
        <x:v>FIRST FLOOR FLAT, 13 MALVERN ROAD
LONDON, NW6 5PS</x:v>
      </x:c>
      <x:c r="R107" s="61"/>
      <x:c r="S107" s="64" t="str">
        <x:f>IF(OR(R107="",X107=""),"",IFERROR(DATEDIF(R107,X107,"m")/12,""))</x:f>
      </x:c>
      <x:c r="T107" s="60"/>
      <x:c r="U107" s="60"/>
      <x:c r="V107" s="60"/>
      <x:c r="W107" s="63"/>
      <x:c r="X107" s="65" t="n">
        <x:f>TODAY()</x:f>
        <x:v>46250</x:v>
      </x:c>
    </x:row>
    <x:row r="108">
      <x:c r="A108" s="59" t="str">
        <x:v>BURTON</x:v>
      </x:c>
      <x:c r="B108" s="60" t="str">
        <x:v>LUISSA</x:v>
      </x:c>
      <x:c r="C108" s="60"/>
      <x:c r="D108" s="61" t="n">
        <x:v>32973.5</x:v>
      </x:c>
      <x:c r="E108" s="62" t="n">
        <x:f>IF(OR(D108="",X108=""),"",IFERROR(DATEDIF(D108,X108,"y"),""))</x:f>
        <x:v>36</x:v>
      </x:c>
      <x:c r="F108" s="60" t="str">
        <x:v>BAXTER</x:v>
      </x:c>
      <x:c r="G108" s="63"/>
      <x:c r="H108" s="63"/>
      <x:c r="I108" s="61" t="n">
        <x:v>43497.5</x:v>
      </x:c>
      <x:c r="J108" s="64" t="n">
        <x:f>IF(OR(I108="",X108=""),"",IFERROR(DATEDIF(I108,X108,"m")/12,""))</x:f>
        <x:v>7.5</x:v>
      </x:c>
      <x:c r="K108" s="60" t="str">
        <x:v>FLAT 11, BROOK HOUSE, 47-48 CLAPHAM COMMON SOUTH SIDE, LONDON, SW4 9BX</x:v>
      </x:c>
      <x:c r="L108" s="60" t="str">
        <x:v> SW4 9BX</x:v>
      </x:c>
      <x:c r="M108" s="60"/>
      <x:c r="N108" s="60" t="str">
        <x:v>SW4 9BX</x:v>
      </x:c>
      <x:c r="O108" s="61" t="n">
        <x:v>38626.5</x:v>
      </x:c>
      <x:c r="P108" s="64" t="n">
        <x:f>IF(OR(O108="",I108=""),"",IFERROR(DATEDIF(O108,I108,"m")/12,""))</x:f>
        <x:v>13.333333333333334</x:v>
      </x:c>
      <x:c r="Q108" s="60" t="str">
        <x:v>THE HAWTHORNS, BROCKHILL LANE,. WORCESTER, HEREFORD AND WORCESTER, WR5 2PP</x:v>
      </x:c>
      <x:c r="R108" s="61"/>
      <x:c r="S108" s="64" t="str">
        <x:f>IF(OR(R108="",X108=""),"",IFERROR(DATEDIF(R108,X108,"m")/12,""))</x:f>
      </x:c>
      <x:c r="T108" s="60"/>
      <x:c r="U108" s="60"/>
      <x:c r="V108" s="60"/>
      <x:c r="W108" s="63"/>
      <x:c r="X108" s="65" t="n">
        <x:f>TODAY()</x:f>
        <x:v>46250</x:v>
      </x:c>
    </x:row>
    <x:row r="109">
      <x:c r="A109" s="59" t="str">
        <x:v>BUSK</x:v>
      </x:c>
      <x:c r="B109" s="60" t="str">
        <x:v>JEREMY</x:v>
      </x:c>
      <x:c r="C109" s="60" t="str">
        <x:v>ANTOINE JAMES</x:v>
      </x:c>
      <x:c r="D109" s="61" t="n">
        <x:v>24165.5</x:v>
      </x:c>
      <x:c r="E109" s="62" t="n">
        <x:f>IF(OR(D109="",X109=""),"",IFERROR(DATEDIF(D109,X109,"y"),""))</x:f>
        <x:v>60</x:v>
      </x:c>
      <x:c r="F109" s="60" t="str">
        <x:v>CACKETT</x:v>
      </x:c>
      <x:c r="G109" s="63"/>
      <x:c r="H109" s="63"/>
      <x:c r="I109" s="61" t="n">
        <x:v>39295.5</x:v>
      </x:c>
      <x:c r="J109" s="64" t="n">
        <x:f>IF(OR(I109="",X109=""),"",IFERROR(DATEDIF(I109,X109,"m")/12,""))</x:f>
        <x:v>19</x:v>
      </x:c>
      <x:c r="K109" s="60" t="str">
        <x:v>FLAT 3, 40. REDCLIFFE SQUARE, LONDON, SW10 9HQ</x:v>
      </x:c>
      <x:c r="L109" s="60" t="str">
        <x:v> SW10 9HQ</x:v>
      </x:c>
      <x:c r="M109" s="60"/>
      <x:c r="N109" s="60" t="str">
        <x:v>SW10 9HQ</x:v>
      </x:c>
      <x:c r="O109" s="61"/>
      <x:c r="P109" s="64" t="str">
        <x:f>IF(OR(O109="",I109=""),"",IFERROR(DATEDIF(O109,I109,"m")/12,""))</x:f>
      </x:c>
      <x:c r="Q109" s="60"/>
      <x:c r="R109" s="61" t="n">
        <x:v>35551.5</x:v>
      </x:c>
      <x:c r="S109" s="64" t="n">
        <x:f>IF(OR(R109="",X109=""),"",IFERROR(DATEDIF(R109,X109,"m")/12,""))</x:f>
        <x:v>29.25</x:v>
      </x:c>
      <x:c r="T109" s="60" t="str">
        <x:v>PASTOR</x:v>
      </x:c>
      <x:c r="U109" s="60" t="str">
        <x:v>LWCC</x:v>
      </x:c>
      <x:c r="V109" s="60" t="str">
        <x:v>100 HANGER LANE, LONDON, W5 1EZ</x:v>
      </x:c>
      <x:c r="W109" s="63"/>
      <x:c r="X109" s="65" t="n">
        <x:f>TODAY()</x:f>
        <x:v>46250</x:v>
      </x:c>
    </x:row>
    <x:row r="110">
      <x:c r="A110" s="59" t="str">
        <x:v>BUYUKCOBAN</x:v>
      </x:c>
      <x:c r="B110" s="60" t="str">
        <x:v>GOKCE</x:v>
      </x:c>
      <x:c r="C110" s="60"/>
      <x:c r="D110" s="61" t="n">
        <x:v>30949.5</x:v>
      </x:c>
      <x:c r="E110" s="62" t="n">
        <x:f>IF(OR(D110="",X110=""),"",IFERROR(DATEDIF(D110,X110,"y"),""))</x:f>
        <x:v>41</x:v>
      </x:c>
      <x:c r="F110" s="60"/>
      <x:c r="G110" s="63" t="str">
        <x:v>07546731204‬</x:v>
      </x:c>
      <x:c r="H110" s="63"/>
      <x:c r="I110" s="61" t="n">
        <x:v>44713.5</x:v>
      </x:c>
      <x:c r="J110" s="64" t="n">
        <x:f>IF(OR(I110="",X110=""),"",IFERROR(DATEDIF(I110,X110,"m")/12,""))</x:f>
        <x:v>4.166666666666667</x:v>
      </x:c>
      <x:c r="K110" s="60" t="str">
        <x:v>FLAT 3, 13 NEVERN SQUARE, LONDON, SW5 9NW</x:v>
      </x:c>
      <x:c r="L110" s="60" t="str">
        <x:v> SW5 9NW</x:v>
      </x:c>
      <x:c r="M110" s="60"/>
      <x:c r="N110" s="60" t="str">
        <x:v>SW5 9NW</x:v>
      </x:c>
      <x:c r="O110" s="61" t="n">
        <x:v>44287.5</x:v>
      </x:c>
      <x:c r="P110" s="64" t="n">
        <x:f>IF(OR(O110="",I110=""),"",IFERROR(DATEDIF(O110,I110,"m")/12,""))</x:f>
        <x:v>1.1666666666666667</x:v>
      </x:c>
      <x:c r="Q110" s="60" t="str">
        <x:v>6 KNARESBOROUGH PLACE, LONDON, SW5 0TG</x:v>
      </x:c>
      <x:c r="R110" s="61" t="n">
        <x:v>39264.5</x:v>
      </x:c>
      <x:c r="S110" s="64" t="n">
        <x:f>IF(OR(R110="",X110=""),"",IFERROR(DATEDIF(R110,X110,"m")/12,""))</x:f>
        <x:v>19.083333333333332</x:v>
      </x:c>
      <x:c r="T110" s="60" t="str">
        <x:v>CRUDE OIL TRADER</x:v>
      </x:c>
      <x:c r="U110" s="60" t="str">
        <x:v>TUPRAS TRADING</x:v>
      </x:c>
      <x:c r="V110" s="60" t="str">
        <x:v>6 CHESTERFIELD GARDENS, LONDON, ENGLAND W1J 5BQ, GB</x:v>
      </x:c>
      <x:c r="W110" s="63"/>
      <x:c r="X110" s="65" t="n">
        <x:f>TODAY()</x:f>
        <x:v>46250</x:v>
      </x:c>
    </x:row>
    <x:row r="111">
      <x:c r="A111" s="59" t="str">
        <x:v>BYMA</x:v>
      </x:c>
      <x:c r="B111" s="60" t="str">
        <x:v>ROBERT</x:v>
      </x:c>
      <x:c r="C111" s="60"/>
      <x:c r="D111" s="61" t="n">
        <x:v>34534.5</x:v>
      </x:c>
      <x:c r="E111" s="62" t="n">
        <x:f>IF(OR(D111="",X111=""),"",IFERROR(DATEDIF(D111,X111,"y"),""))</x:f>
        <x:v>32</x:v>
      </x:c>
      <x:c r="F111" s="60" t="str">
        <x:v>NOVAK</x:v>
      </x:c>
      <x:c r="G111" s="63" t="str">
        <x:v>07761131647</x:v>
      </x:c>
      <x:c r="H111" s="63"/>
      <x:c r="I111" s="61" t="n">
        <x:v>45261.5</x:v>
      </x:c>
      <x:c r="J111" s="64" t="n">
        <x:f>IF(OR(I111="",X111=""),"",IFERROR(DATEDIF(I111,X111,"m")/12,""))</x:f>
        <x:v>2.6666666666666665</x:v>
      </x:c>
      <x:c r="K111" s="60" t="str">
        <x:v>FLAT 6, RUTLAND COURT, 21-23 DRAYCOYTT PLACE, LONDON,SW3 2SQ</x:v>
      </x:c>
      <x:c r="L111" s="60" t="str">
        <x:v>SW3 2SQ</x:v>
      </x:c>
      <x:c r="M111" s="60" t="str">
        <x:v>SW3 2SQ</x:v>
      </x:c>
      <x:c r="N111" s="60"/>
      <x:c r="O111" s="61" t="n">
        <x:v>40940.5</x:v>
      </x:c>
      <x:c r="P111" s="64" t="n">
        <x:f>IF(OR(O111="",I111=""),"",IFERROR(DATEDIF(O111,I111,"m")/12,""))</x:f>
        <x:v>11.833333333333334</x:v>
      </x:c>
      <x:c r="Q111" s="60" t="str">
        <x:v>42A OAKLEY STREET, LONDON, SW3 5HA</x:v>
      </x:c>
      <x:c r="R111" s="61"/>
      <x:c r="S111" s="64" t="str">
        <x:f>IF(OR(R111="",X111=""),"",IFERROR(DATEDIF(R111,X111,"m")/12,""))</x:f>
      </x:c>
      <x:c r="T111" s="60"/>
      <x:c r="U111" s="60"/>
      <x:c r="V111" s="60"/>
      <x:c r="W111" s="63"/>
      <x:c r="X111" s="65" t="n">
        <x:f>TODAY()</x:f>
        <x:v>46250</x:v>
      </x:c>
    </x:row>
    <x:row r="112">
      <x:c r="A112" s="59" t="str">
        <x:v>C</x:v>
      </x:c>
      <x:c r="B112" s="60"/>
      <x:c r="C112" s="60"/>
      <x:c r="D112" s="61"/>
      <x:c r="E112" s="62" t="str">
        <x:f>IF(OR(D112="",X112=""),"",IFERROR(DATEDIF(D112,X112,"y"),""))</x:f>
      </x:c>
      <x:c r="F112" s="60"/>
      <x:c r="G112" s="63"/>
      <x:c r="H112" s="63"/>
      <x:c r="I112" s="61"/>
      <x:c r="J112" s="64" t="str">
        <x:f>IF(OR(I112="",X112=""),"",IFERROR(DATEDIF(I112,X112,"m")/12,""))</x:f>
      </x:c>
      <x:c r="K112" s="60"/>
      <x:c r="L112" s="60"/>
      <x:c r="M112" s="60"/>
      <x:c r="N112" s="60"/>
      <x:c r="O112" s="61"/>
      <x:c r="P112" s="64" t="str">
        <x:f>IF(OR(O112="",I112=""),"",IFERROR(DATEDIF(O112,I112,"m")/12,""))</x:f>
      </x:c>
      <x:c r="Q112" s="60"/>
      <x:c r="R112" s="61"/>
      <x:c r="S112" s="64" t="str">
        <x:f>IF(OR(R112="",X112=""),"",IFERROR(DATEDIF(R112,X112,"m")/12,""))</x:f>
      </x:c>
      <x:c r="T112" s="60"/>
      <x:c r="U112" s="60"/>
      <x:c r="V112" s="60"/>
      <x:c r="W112" s="63"/>
      <x:c r="X112" s="65" t="n">
        <x:f>TODAY()</x:f>
        <x:v>46250</x:v>
      </x:c>
    </x:row>
    <x:row r="113">
      <x:c r="A113" s="59" t="str">
        <x:v>CAFORIO</x:v>
      </x:c>
      <x:c r="B113" s="60" t="str">
        <x:v>GIOVANNI</x:v>
      </x:c>
      <x:c r="C113" s="60"/>
      <x:c r="D113" s="61" t="n">
        <x:v>33339.5</x:v>
      </x:c>
      <x:c r="E113" s="62" t="n">
        <x:f>IF(OR(D113="",X113=""),"",IFERROR(DATEDIF(D113,X113,"y"),""))</x:f>
        <x:v>35</x:v>
      </x:c>
      <x:c r="F113" s="60"/>
      <x:c r="G113" s="63" t="str">
        <x:v>‭07709066290‬</x:v>
      </x:c>
      <x:c r="H113" s="63"/>
      <x:c r="I113" s="61" t="n">
        <x:v>45383.5</x:v>
      </x:c>
      <x:c r="J113" s="64" t="n">
        <x:f>IF(OR(I113="",X113=""),"",IFERROR(DATEDIF(I113,X113,"m")/12,""))</x:f>
        <x:v>2.3333333333333335</x:v>
      </x:c>
      <x:c r="K113" s="60" t="str">
        <x:v>FLAT 2, 52 QUEENS GATE GARDENS, LONDON, SW7 5NF</x:v>
      </x:c>
      <x:c r="L113" s="60"/>
      <x:c r="M113" s="60"/>
      <x:c r="N113" s="60"/>
      <x:c r="O113" s="61" t="n">
        <x:v>44044.5</x:v>
      </x:c>
      <x:c r="P113" s="64" t="n">
        <x:f>IF(OR(O113="",I113=""),"",IFERROR(DATEDIF(O113,I113,"m")/12,""))</x:f>
        <x:v>3.6666666666666665</x:v>
      </x:c>
      <x:c r="Q113" s="60" t="str">
        <x:v>FLAT 1-3, BASSMORE HOUSE, 151-153 CURTAIN ROAD, LONDON, EC2A 3QL</x:v>
      </x:c>
      <x:c r="R113" s="61" t="n">
        <x:v>43952.5</x:v>
      </x:c>
      <x:c r="S113" s="64" t="n">
        <x:f>IF(OR(R113="",X113=""),"",IFERROR(DATEDIF(R113,X113,"m")/12,""))</x:f>
        <x:v>6.25</x:v>
      </x:c>
      <x:c r="T113" s="60" t="str">
        <x:v>SENIOR ANALYST</x:v>
      </x:c>
      <x:c r="U113" s="60" t="str">
        <x:v>LEXCOR CAPITAL LLP</x:v>
      </x:c>
      <x:c r="V113" s="60" t="str">
        <x:v>55 BAKER STREET, SOUTH BLOCK, 7TH FLOOR, LONDON, W1U 8EW</x:v>
      </x:c>
      <x:c r="W113" s="63"/>
      <x:c r="X113" s="65" t="n">
        <x:f>TODAY()</x:f>
        <x:v>46250</x:v>
      </x:c>
    </x:row>
    <x:row r="114">
      <x:c r="A114" s="59" t="str">
        <x:v>CAMERON</x:v>
      </x:c>
      <x:c r="B114" s="60" t="str">
        <x:v>MICHAEL</x:v>
      </x:c>
      <x:c r="C114" s="60"/>
      <x:c r="D114" s="61" t="n">
        <x:v>28207.5</x:v>
      </x:c>
      <x:c r="E114" s="62" t="n">
        <x:f>IF(OR(D114="",X114=""),"",IFERROR(DATEDIF(D114,X114,"y"),""))</x:f>
        <x:v>49</x:v>
      </x:c>
      <x:c r="F114" s="60"/>
      <x:c r="G114" s="63"/>
      <x:c r="H114" s="63"/>
      <x:c r="I114" s="61" t="n">
        <x:v>42036.5</x:v>
      </x:c>
      <x:c r="J114" s="64" t="n">
        <x:f>IF(OR(I114="",X114=""),"",IFERROR(DATEDIF(I114,X114,"m")/12,""))</x:f>
        <x:v>11.5</x:v>
      </x:c>
      <x:c r="K114" s="60" t="str">
        <x:v>246 LAVENDER HILL, LONDON, SW11 1LJ</x:v>
      </x:c>
      <x:c r="L114" s="60" t="str">
        <x:v> SW11 1LJ</x:v>
      </x:c>
      <x:c r="M114" s="60"/>
      <x:c r="N114" s="60" t="str">
        <x:v>SW11 1LJ</x:v>
      </x:c>
      <x:c r="O114" s="61"/>
      <x:c r="P114" s="64" t="str">
        <x:f>IF(OR(O114="",I114=""),"",IFERROR(DATEDIF(O114,I114,"m")/12,""))</x:f>
      </x:c>
      <x:c r="Q114" s="60"/>
      <x:c r="R114" s="61"/>
      <x:c r="S114" s="64" t="str">
        <x:f>IF(OR(R114="",X114=""),"",IFERROR(DATEDIF(R114,X114,"m")/12,""))</x:f>
      </x:c>
      <x:c r="T114" s="60"/>
      <x:c r="U114" s="60"/>
      <x:c r="V114" s="60"/>
      <x:c r="W114" s="63"/>
      <x:c r="X114" s="65" t="n">
        <x:f>TODAY()</x:f>
        <x:v>46250</x:v>
      </x:c>
    </x:row>
    <x:row r="115">
      <x:c r="A115" s="59" t="str">
        <x:v>CAMPBELL</x:v>
      </x:c>
      <x:c r="B115" s="60" t="str">
        <x:v>ELLIOTT</x:v>
      </x:c>
      <x:c r="C115" s="60" t="str">
        <x:v>LEWIS</x:v>
      </x:c>
      <x:c r="D115" s="61" t="n">
        <x:v>34806.5</x:v>
      </x:c>
      <x:c r="E115" s="62" t="n">
        <x:f>IF(OR(D115="",X115=""),"",IFERROR(DATEDIF(D115,X115,"y"),""))</x:f>
        <x:v>31</x:v>
      </x:c>
      <x:c r="F115" s="60" t="str">
        <x:v>WILLIAMSON</x:v>
      </x:c>
      <x:c r="G115" s="63" t="str">
        <x:v>07508273664</x:v>
      </x:c>
      <x:c r="H115" s="63" t="str">
        <x:v>PA004164A</x:v>
      </x:c>
      <x:c r="I115" s="61" t="n">
        <x:v>43678.5</x:v>
      </x:c>
      <x:c r="J115" s="64" t="n">
        <x:f>IF(OR(I115="",X115=""),"",IFERROR(DATEDIF(I115,X115,"m")/12,""))</x:f>
        <x:v>7</x:v>
      </x:c>
      <x:c r="K115" s="60" t="str">
        <x:v>FLAT 8, 417A NORTH END ROAD LONDON, SW6 1NY</x:v>
      </x:c>
      <x:c r="L115" s="60" t="str">
        <x:v> SW6 1NY</x:v>
      </x:c>
      <x:c r="M115" s="60"/>
      <x:c r="N115" s="60" t="str">
        <x:v>SW6 1NY</x:v>
      </x:c>
      <x:c r="O115" s="61" t="n">
        <x:v>41395.5</x:v>
      </x:c>
      <x:c r="P115" s="64" t="n">
        <x:f>IF(OR(O115="",I115=""),"",IFERROR(DATEDIF(O115,I115,"m")/12,""))</x:f>
        <x:v>6.25</x:v>
      </x:c>
      <x:c r="Q115" s="60" t="str">
        <x:v>174, WADSLEY LANE, SHEFFIELD, SOUTH YORKSHIRE, S6 4EE</x:v>
      </x:c>
      <x:c r="R115" s="61"/>
      <x:c r="S115" s="64" t="str">
        <x:f>IF(OR(R115="",X115=""),"",IFERROR(DATEDIF(R115,X115,"m")/12,""))</x:f>
      </x:c>
      <x:c r="T115" s="60"/>
      <x:c r="U115" s="60"/>
      <x:c r="V115" s="60"/>
      <x:c r="W115" s="63"/>
      <x:c r="X115" s="65" t="n">
        <x:f>TODAY()</x:f>
        <x:v>46250</x:v>
      </x:c>
    </x:row>
    <x:row r="116">
      <x:c r="A116" s="59" t="str">
        <x:v>CAMPBELL CROMBIE</x:v>
      </x:c>
      <x:c r="B116" s="60" t="str">
        <x:v>ANTHONY</x:v>
      </x:c>
      <x:c r="C116" s="60"/>
      <x:c r="D116" s="61" t="n">
        <x:v>20746.5</x:v>
      </x:c>
      <x:c r="E116" s="62" t="n">
        <x:f>IF(OR(D116="",X116=""),"",IFERROR(DATEDIF(D116,X116,"y"),""))</x:f>
        <x:v>69</x:v>
      </x:c>
      <x:c r="F116" s="60"/>
      <x:c r="G116" s="63" t="str">
        <x:v>07407602632</x:v>
      </x:c>
      <x:c r="H116" s="63"/>
      <x:c r="I116" s="61" t="n">
        <x:v>39934.5</x:v>
      </x:c>
      <x:c r="J116" s="64" t="n">
        <x:f>IF(OR(I116="",X116=""),"",IFERROR(DATEDIF(I116,X116,"m")/12,""))</x:f>
        <x:v>17.25</x:v>
      </x:c>
      <x:c r="K116" s="60" t="str">
        <x:v>FLAT 3, 6 WINDMILL DRIVE, LONDON, SW4 9DE</x:v>
      </x:c>
      <x:c r="L116" s="60" t="str">
        <x:v> SW4 9DE</x:v>
      </x:c>
      <x:c r="M116" s="60"/>
      <x:c r="N116" s="60" t="str">
        <x:v>SW4 9DE</x:v>
      </x:c>
      <x:c r="O116" s="61"/>
      <x:c r="P116" s="64" t="str">
        <x:f>IF(OR(O116="",I116=""),"",IFERROR(DATEDIF(O116,I116,"m")/12,""))</x:f>
      </x:c>
      <x:c r="Q116" s="60"/>
      <x:c r="R116" s="61"/>
      <x:c r="S116" s="64" t="str">
        <x:f>IF(OR(R116="",X116=""),"",IFERROR(DATEDIF(R116,X116,"m")/12,""))</x:f>
      </x:c>
      <x:c r="T116" s="60"/>
      <x:c r="U116" s="60"/>
      <x:c r="V116" s="60"/>
      <x:c r="W116" s="63"/>
      <x:c r="X116" s="65" t="n">
        <x:f>TODAY()</x:f>
        <x:v>46250</x:v>
      </x:c>
    </x:row>
    <x:row r="117">
      <x:c r="A117" s="59" t="str">
        <x:v>CARDOSO</x:v>
      </x:c>
      <x:c r="B117" s="60" t="str">
        <x:v>JAMIE</x:v>
      </x:c>
      <x:c r="C117" s="60"/>
      <x:c r="D117" s="61" t="n">
        <x:v>27230.5</x:v>
      </x:c>
      <x:c r="E117" s="62" t="n">
        <x:f>IF(OR(D117="",X117=""),"",IFERROR(DATEDIF(D117,X117,"y"),""))</x:f>
        <x:v>52</x:v>
      </x:c>
      <x:c r="F117" s="60" t="str">
        <x:v>LIMA</x:v>
      </x:c>
      <x:c r="G117" s="63"/>
      <x:c r="H117" s="63"/>
      <x:c r="I117" s="61" t="n">
        <x:v>38838.5</x:v>
      </x:c>
      <x:c r="J117" s="64" t="n">
        <x:f>IF(OR(I117="",X117=""),"",IFERROR(DATEDIF(I117,X117,"m")/12,""))</x:f>
        <x:v>20.25</x:v>
      </x:c>
      <x:c r="K117" s="60" t="str">
        <x:v>47 CLANRICARDE GARDENS, LONDON, W2 4JN</x:v>
      </x:c>
      <x:c r="L117" s="60" t="str">
        <x:v> W2 4JN</x:v>
      </x:c>
      <x:c r="M117" s="60"/>
      <x:c r="N117" s="60" t="str">
        <x:v>W2 4JN</x:v>
      </x:c>
      <x:c r="O117" s="61"/>
      <x:c r="P117" s="64" t="str">
        <x:f>IF(OR(O117="",I117=""),"",IFERROR(DATEDIF(O117,I117,"m")/12,""))</x:f>
      </x:c>
      <x:c r="Q117" s="60"/>
      <x:c r="R117" s="61" t="n">
        <x:v>39814.5</x:v>
      </x:c>
      <x:c r="S117" s="64" t="n">
        <x:f>IF(OR(R117="",X117=""),"",IFERROR(DATEDIF(R117,X117,"m")/12,""))</x:f>
        <x:v>17.583333333333332</x:v>
      </x:c>
      <x:c r="T117" s="60"/>
      <x:c r="U117" s="60"/>
      <x:c r="V117" s="60"/>
      <x:c r="W117" s="63"/>
      <x:c r="X117" s="65" t="n">
        <x:f>TODAY()</x:f>
        <x:v>46250</x:v>
      </x:c>
    </x:row>
    <x:row r="118">
      <x:c r="A118" s="59" t="str">
        <x:v>CARMICHAEL</x:v>
      </x:c>
      <x:c r="B118" s="60" t="str">
        <x:v>WENDY</x:v>
      </x:c>
      <x:c r="C118" s="60" t="str">
        <x:v>ANN</x:v>
      </x:c>
      <x:c r="D118" s="61" t="n">
        <x:v>15423.5</x:v>
      </x:c>
      <x:c r="E118" s="62" t="n">
        <x:f>IF(OR(D118="",X118=""),"",IFERROR(DATEDIF(D118,X118,"y"),""))</x:f>
        <x:v>84</x:v>
      </x:c>
      <x:c r="F118" s="60"/>
      <x:c r="G118" s="63"/>
      <x:c r="H118" s="63"/>
      <x:c r="I118" s="61" t="n">
        <x:v>45536.5</x:v>
      </x:c>
      <x:c r="J118" s="64" t="n">
        <x:f>IF(OR(I118="",X118=""),"",IFERROR(DATEDIF(I118,X118,"m")/12,""))</x:f>
        <x:v>1.9166666666666667</x:v>
      </x:c>
      <x:c r="K118" s="60" t="str">
        <x:v>FLAT 8, 39, DRAYCOTT PLACE, LONDON, SW3 2SH</x:v>
      </x:c>
      <x:c r="L118" s="60" t="str">
        <x:v> SW3 2SH</x:v>
      </x:c>
      <x:c r="M118" s="60"/>
      <x:c r="N118" s="60" t="str">
        <x:v>SW3 2SH</x:v>
      </x:c>
      <x:c r="O118" s="61" t="n">
        <x:v>43678.5</x:v>
      </x:c>
      <x:c r="P118" s="64" t="n">
        <x:f>IF(OR(O118="",I118=""),"",IFERROR(DATEDIF(O118,I118,"m")/12,""))</x:f>
        <x:v>5.083333333333333</x:v>
      </x:c>
      <x:c r="Q118" s="60" t="str">
        <x:v>FLAT 3, 34, LENNOX GARDENS, LONDON, LONDON, SW1X 0DH</x:v>
      </x:c>
      <x:c r="R118" s="61"/>
      <x:c r="S118" s="64" t="str">
        <x:f>IF(OR(R118="",X118=""),"",IFERROR(DATEDIF(R118,X118,"m")/12,""))</x:f>
      </x:c>
      <x:c r="T118" s="60"/>
      <x:c r="U118" s="60"/>
      <x:c r="V118" s="60"/>
      <x:c r="W118" s="63"/>
      <x:c r="X118" s="65" t="n">
        <x:f>TODAY()</x:f>
        <x:v>46250</x:v>
      </x:c>
    </x:row>
    <x:row r="119">
      <x:c r="A119" s="59" t="str">
        <x:v>CARRER</x:v>
      </x:c>
      <x:c r="B119" s="60" t="str">
        <x:v>CARLA</x:v>
      </x:c>
      <x:c r="C119" s="60"/>
      <x:c r="D119" s="61" t="n">
        <x:v>24160.5</x:v>
      </x:c>
      <x:c r="E119" s="62" t="n">
        <x:f>IF(OR(D119="",X119=""),"",IFERROR(DATEDIF(D119,X119,"y"),""))</x:f>
        <x:v>60</x:v>
      </x:c>
      <x:c r="F119" s="60"/>
      <x:c r="G119" s="63"/>
      <x:c r="H119" s="63"/>
      <x:c r="I119" s="61"/>
      <x:c r="J119" s="64" t="str">
        <x:f>IF(OR(I119="",X119=""),"",IFERROR(DATEDIF(I119,X119,"m")/12,""))</x:f>
      </x:c>
      <x:c r="K119" s="60" t="str">
        <x:v>FLAT 3, 92 WESTBOURNE TERRACE, LONDON, W2 6QE</x:v>
      </x:c>
      <x:c r="L119" s="60" t="str">
        <x:v> W2 6QE</x:v>
      </x:c>
      <x:c r="M119" s="60"/>
      <x:c r="N119" s="60" t="str">
        <x:v>W2 6QE</x:v>
      </x:c>
      <x:c r="O119" s="61"/>
      <x:c r="P119" s="64" t="str">
        <x:f>IF(OR(O119="",I119=""),"",IFERROR(DATEDIF(O119,I119,"m")/12,""))</x:f>
      </x:c>
      <x:c r="Q119" s="60"/>
      <x:c r="R119" s="61" t="n">
        <x:v>39600.5</x:v>
      </x:c>
      <x:c r="S119" s="64" t="n">
        <x:f>IF(OR(R119="",X119=""),"",IFERROR(DATEDIF(R119,X119,"m")/12,""))</x:f>
        <x:v>18.166666666666668</x:v>
      </x:c>
      <x:c r="T119" s="60" t="str">
        <x:v>CONSYULTANT</x:v>
      </x:c>
      <x:c r="U119" s="60" t="str">
        <x:v>LEGAL &amp; BUSINESS SERVICES LTD</x:v>
      </x:c>
      <x:c r="V119" s="60"/>
      <x:c r="W119" s="63"/>
      <x:c r="X119" s="65" t="n">
        <x:f>TODAY()</x:f>
        <x:v>46250</x:v>
      </x:c>
    </x:row>
    <x:row r="120">
      <x:c r="A120" s="59" t="str">
        <x:v>CASCIO</x:v>
      </x:c>
      <x:c r="B120" s="60" t="str">
        <x:v>ROSARIO</x:v>
      </x:c>
      <x:c r="C120" s="60"/>
      <x:c r="D120" s="61" t="n">
        <x:v>22930.5</x:v>
      </x:c>
      <x:c r="E120" s="62" t="n">
        <x:f>IF(OR(D120="",X120=""),"",IFERROR(DATEDIF(D120,X120,"y"),""))</x:f>
        <x:v>63</x:v>
      </x:c>
      <x:c r="F120" s="60" t="str">
        <x:v>CASCIO</x:v>
      </x:c>
      <x:c r="G120" s="63"/>
      <x:c r="H120" s="63"/>
      <x:c r="I120" s="61" t="n">
        <x:v>42552.5</x:v>
      </x:c>
      <x:c r="J120" s="64" t="n">
        <x:f>IF(OR(I120="",X120=""),"",IFERROR(DATEDIF(I120,X120,"m")/12,""))</x:f>
        <x:v>10.083333333333334</x:v>
      </x:c>
      <x:c r="K120" s="60" t="str">
        <x:v>FLAT 1, 47 BREWER STREET, LONDON, W1F 9UF</x:v>
      </x:c>
      <x:c r="L120" s="60" t="str">
        <x:v> W1F 9UF</x:v>
      </x:c>
      <x:c r="M120" s="60"/>
      <x:c r="N120" s="60" t="str">
        <x:v>W1F 9UF</x:v>
      </x:c>
      <x:c r="O120" s="61"/>
      <x:c r="P120" s="64" t="str">
        <x:f>IF(OR(O120="",I120=""),"",IFERROR(DATEDIF(O120,I120,"m")/12,""))</x:f>
      </x:c>
      <x:c r="Q120" s="60"/>
      <x:c r="R120" s="61"/>
      <x:c r="S120" s="64" t="str">
        <x:f>IF(OR(R120="",X120=""),"",IFERROR(DATEDIF(R120,X120,"m")/12,""))</x:f>
      </x:c>
      <x:c r="T120" s="60"/>
      <x:c r="U120" s="60"/>
      <x:c r="V120" s="60"/>
      <x:c r="W120" s="63"/>
      <x:c r="X120" s="65" t="n">
        <x:f>TODAY()</x:f>
        <x:v>46250</x:v>
      </x:c>
    </x:row>
    <x:row r="121">
      <x:c r="A121" s="59" t="str">
        <x:v>CATTELL</x:v>
      </x:c>
      <x:c r="B121" s="60" t="str">
        <x:v>CATLOW</x:v>
      </x:c>
      <x:c r="C121" s="60" t="str">
        <x:v>WILLIAM NORMAN</x:v>
      </x:c>
      <x:c r="D121" s="61" t="n">
        <x:v>16159.5</x:v>
      </x:c>
      <x:c r="E121" s="62" t="n">
        <x:f>IF(OR(D121="",X121=""),"",IFERROR(DATEDIF(D121,X121,"y"),""))</x:f>
        <x:v>82</x:v>
      </x:c>
      <x:c r="F121" s="60" t="str">
        <x:v>CATLOW</x:v>
      </x:c>
      <x:c r="G121" s="63"/>
      <x:c r="H121" s="63"/>
      <x:c r="I121" s="61" t="n">
        <x:v>39203.5</x:v>
      </x:c>
      <x:c r="J121" s="64" t="n">
        <x:f>IF(OR(I121="",X121=""),"",IFERROR(DATEDIF(I121,X121,"m")/12,""))</x:f>
        <x:v>19.25</x:v>
      </x:c>
      <x:c r="K121" s="60" t="str">
        <x:v>FLAT 5, KINGS MANSIONS, LAWRENCE STREET, LONDON, SW3 5ND</x:v>
      </x:c>
      <x:c r="L121" s="60" t="str">
        <x:v> SW3 5ND</x:v>
      </x:c>
      <x:c r="M121" s="60"/>
      <x:c r="N121" s="60" t="str">
        <x:v>SW3 5ND</x:v>
      </x:c>
      <x:c r="O121" s="61"/>
      <x:c r="P121" s="64" t="str">
        <x:f>IF(OR(O121="",I121=""),"",IFERROR(DATEDIF(O121,I121,"m")/12,""))</x:f>
      </x:c>
      <x:c r="Q121" s="60"/>
      <x:c r="R121" s="61"/>
      <x:c r="S121" s="64" t="str">
        <x:f>IF(OR(R121="",X121=""),"",IFERROR(DATEDIF(R121,X121,"m")/12,""))</x:f>
      </x:c>
      <x:c r="T121" s="60"/>
      <x:c r="U121" s="60"/>
      <x:c r="V121" s="60"/>
      <x:c r="W121" s="63"/>
      <x:c r="X121" s="65" t="n">
        <x:f>TODAY()</x:f>
        <x:v>46250</x:v>
      </x:c>
    </x:row>
    <x:row r="122">
      <x:c r="A122" s="59" t="str">
        <x:v>CATTELL</x:v>
      </x:c>
      <x:c r="B122" s="60" t="str">
        <x:v>SYRIALATHA</x:v>
      </x:c>
      <x:c r="C122" s="60"/>
      <x:c r="D122" s="61" t="n">
        <x:v>14710.5</x:v>
      </x:c>
      <x:c r="E122" s="62" t="n">
        <x:f>IF(OR(D122="",X122=""),"",IFERROR(DATEDIF(D122,X122,"y"),""))</x:f>
        <x:v>86</x:v>
      </x:c>
      <x:c r="F122" s="60"/>
      <x:c r="G122" s="63"/>
      <x:c r="H122" s="63"/>
      <x:c r="I122" s="61" t="n">
        <x:v>39203.5</x:v>
      </x:c>
      <x:c r="J122" s="64" t="n">
        <x:f>IF(OR(I122="",X122=""),"",IFERROR(DATEDIF(I122,X122,"m")/12,""))</x:f>
        <x:v>19.25</x:v>
      </x:c>
      <x:c r="K122" s="60" t="str">
        <x:v>FLAT 5, KINGS MANSIONS, LAWRENCE STREET, LONDON, SW3 5ND</x:v>
      </x:c>
      <x:c r="L122" s="60" t="str">
        <x:v> SW3 5ND</x:v>
      </x:c>
      <x:c r="M122" s="60"/>
      <x:c r="N122" s="60" t="str">
        <x:v>SW3 5ND</x:v>
      </x:c>
      <x:c r="O122" s="61"/>
      <x:c r="P122" s="64" t="str">
        <x:f>IF(OR(O122="",I122=""),"",IFERROR(DATEDIF(O122,I122,"m")/12,""))</x:f>
      </x:c>
      <x:c r="Q122" s="60"/>
      <x:c r="R122" s="61"/>
      <x:c r="S122" s="64" t="str">
        <x:f>IF(OR(R122="",X122=""),"",IFERROR(DATEDIF(R122,X122,"m")/12,""))</x:f>
      </x:c>
      <x:c r="T122" s="60"/>
      <x:c r="U122" s="60"/>
      <x:c r="V122" s="60"/>
      <x:c r="W122" s="63"/>
      <x:c r="X122" s="65" t="n">
        <x:f>TODAY()</x:f>
        <x:v>46250</x:v>
      </x:c>
    </x:row>
    <x:row r="123">
      <x:c r="A123" s="59" t="str">
        <x:v>CAVENEY</x:v>
      </x:c>
      <x:c r="B123" s="60" t="str">
        <x:v>ANDREW</x:v>
      </x:c>
      <x:c r="C123" s="60" t="str">
        <x:v>DUNCAN</x:v>
      </x:c>
      <x:c r="D123" s="61" t="n">
        <x:v>24595.5</x:v>
      </x:c>
      <x:c r="E123" s="62" t="n">
        <x:f>IF(OR(D123="",X123=""),"",IFERROR(DATEDIF(D123,X123,"y"),""))</x:f>
        <x:v>59</x:v>
      </x:c>
      <x:c r="F123" s="60" t="str">
        <x:v>THORPE</x:v>
      </x:c>
      <x:c r="G123" s="63"/>
      <x:c r="H123" s="63"/>
      <x:c r="I123" s="61"/>
      <x:c r="J123" s="64" t="str">
        <x:f>IF(OR(I123="",X123=""),"",IFERROR(DATEDIF(I123,X123,"m")/12,""))</x:f>
      </x:c>
      <x:c r="K123" s="60"/>
      <x:c r="L123" s="60"/>
      <x:c r="M123" s="60"/>
      <x:c r="N123" s="60"/>
      <x:c r="O123" s="61"/>
      <x:c r="P123" s="64" t="str">
        <x:f>IF(OR(O123="",I123=""),"",IFERROR(DATEDIF(O123,I123,"m")/12,""))</x:f>
      </x:c>
      <x:c r="Q123" s="60"/>
      <x:c r="R123" s="61" t="n">
        <x:v>39114.5</x:v>
      </x:c>
      <x:c r="S123" s="64" t="n">
        <x:f>IF(OR(R123="",X123=""),"",IFERROR(DATEDIF(R123,X123,"m")/12,""))</x:f>
        <x:v>19.5</x:v>
      </x:c>
      <x:c r="T123" s="60" t="str">
        <x:v>EMEA CONSULTING SUSTAINABILITY LEADER</x:v>
      </x:c>
      <x:c r="U123" s="60" t="str">
        <x:v>ERNST &amp; YOUNG</x:v>
      </x:c>
      <x:c r="V123" s="60" t="str">
        <x:v>1 MORE LONDON PL, LONDON, SE1 2AF</x:v>
      </x:c>
      <x:c r="W123" s="63" t="str">
        <x:v>020 79512000</x:v>
      </x:c>
      <x:c r="X123" s="65" t="n">
        <x:f>TODAY()</x:f>
        <x:v>46250</x:v>
      </x:c>
    </x:row>
    <x:row r="124">
      <x:c r="A124" s="59" t="str">
        <x:v>CERTINI</x:v>
      </x:c>
      <x:c r="B124" s="60" t="str">
        <x:v>ROBERTA</x:v>
      </x:c>
      <x:c r="C124" s="60" t="str">
        <x:v>ANNA</x:v>
      </x:c>
      <x:c r="D124" s="61" t="n">
        <x:v>33280.5</x:v>
      </x:c>
      <x:c r="E124" s="62" t="n">
        <x:f>IF(OR(D124="",X124=""),"",IFERROR(DATEDIF(D124,X124,"y"),""))</x:f>
        <x:v>35</x:v>
      </x:c>
      <x:c r="F124" s="60"/>
      <x:c r="G124" s="63"/>
      <x:c r="H124" s="63"/>
      <x:c r="I124" s="61" t="n">
        <x:v>44986.5</x:v>
      </x:c>
      <x:c r="J124" s="64" t="n">
        <x:f>IF(OR(I124="",X124=""),"",IFERROR(DATEDIF(I124,X124,"m")/12,""))</x:f>
        <x:v>3.4166666666666665</x:v>
      </x:c>
      <x:c r="K124" s="60" t="str">
        <x:v>FLAT 8, 3 SINCLAIR GARDENS, LONDON, W14 0AU</x:v>
      </x:c>
      <x:c r="L124" s="60" t="str">
        <x:v> W14 0AU</x:v>
      </x:c>
      <x:c r="M124" s="60"/>
      <x:c r="N124" s="60" t="str">
        <x:v>W14 0AU</x:v>
      </x:c>
      <x:c r="O124" s="61"/>
      <x:c r="P124" s="64" t="str">
        <x:f>IF(OR(O124="",I124=""),"",IFERROR(DATEDIF(O124,I124,"m")/12,""))</x:f>
      </x:c>
      <x:c r="Q124" s="60"/>
      <x:c r="R124" s="61"/>
      <x:c r="S124" s="64" t="str">
        <x:f>IF(OR(R124="",X124=""),"",IFERROR(DATEDIF(R124,X124,"m")/12,""))</x:f>
      </x:c>
      <x:c r="T124" s="60"/>
      <x:c r="U124" s="60"/>
      <x:c r="V124" s="60"/>
      <x:c r="W124" s="63"/>
      <x:c r="X124" s="65" t="n">
        <x:f>TODAY()</x:f>
        <x:v>46250</x:v>
      </x:c>
    </x:row>
    <x:row r="125">
      <x:c r="A125" s="59" t="str">
        <x:v>CHADI</x:v>
      </x:c>
      <x:c r="B125" s="60" t="str">
        <x:v>BAKTA</x:v>
      </x:c>
      <x:c r="C125" s="60"/>
      <x:c r="D125" s="61" t="n">
        <x:v>22987.5</x:v>
      </x:c>
      <x:c r="E125" s="62" t="n">
        <x:f>IF(OR(D125="",X125=""),"",IFERROR(DATEDIF(D125,X125,"y"),""))</x:f>
        <x:v>63</x:v>
      </x:c>
      <x:c r="F125" s="60" t="str">
        <x:v>CHADI</x:v>
      </x:c>
      <x:c r="G125" s="63"/>
      <x:c r="H125" s="63"/>
      <x:c r="I125" s="61" t="n">
        <x:v>42125.5</x:v>
      </x:c>
      <x:c r="J125" s="64" t="n">
        <x:f>IF(OR(I125="",X125=""),"",IFERROR(DATEDIF(I125,X125,"m")/12,""))</x:f>
        <x:v>11.25</x:v>
      </x:c>
      <x:c r="K125" s="60" t="str">
        <x:v>FLAT 2, 8A LEINSTER GARDENS, LONDON, W2 6DP</x:v>
      </x:c>
      <x:c r="L125" s="60" t="str">
        <x:v> W2 6DP</x:v>
      </x:c>
      <x:c r="M125" s="60"/>
      <x:c r="N125" s="60" t="str">
        <x:v>W2 6DP</x:v>
      </x:c>
      <x:c r="O125" s="61"/>
      <x:c r="P125" s="64" t="str">
        <x:f>IF(OR(O125="",I125=""),"",IFERROR(DATEDIF(O125,I125,"m")/12,""))</x:f>
      </x:c>
      <x:c r="Q125" s="60"/>
      <x:c r="R125" s="61"/>
      <x:c r="S125" s="64" t="str">
        <x:f>IF(OR(R125="",X125=""),"",IFERROR(DATEDIF(R125,X125,"m")/12,""))</x:f>
      </x:c>
      <x:c r="T125" s="60"/>
      <x:c r="U125" s="60"/>
      <x:c r="V125" s="60"/>
      <x:c r="W125" s="63"/>
      <x:c r="X125" s="65" t="n">
        <x:f>TODAY()</x:f>
        <x:v>46250</x:v>
      </x:c>
    </x:row>
    <x:row r="126">
      <x:c r="A126" s="59" t="str">
        <x:v>CHADWICK</x:v>
      </x:c>
      <x:c r="B126" s="60" t="str">
        <x:v>WILLIAM</x:v>
      </x:c>
      <x:c r="C126" s="60" t="str">
        <x:v>JOHN</x:v>
      </x:c>
      <x:c r="D126" s="61" t="n">
        <x:v>31423.5</x:v>
      </x:c>
      <x:c r="E126" s="62" t="n">
        <x:f>IF(OR(D126="",X126=""),"",IFERROR(DATEDIF(D126,X126,"y"),""))</x:f>
        <x:v>40</x:v>
      </x:c>
      <x:c r="F126" s="60" t="str">
        <x:v>JACKSON</x:v>
      </x:c>
      <x:c r="G126" s="63"/>
      <x:c r="H126" s="63"/>
      <x:c r="I126" s="61" t="n">
        <x:v>41426.5</x:v>
      </x:c>
      <x:c r="J126" s="64" t="n">
        <x:f>IF(OR(I126="",X126=""),"",IFERROR(DATEDIF(I126,X126,"m")/12,""))</x:f>
        <x:v>13.166666666666666</x:v>
      </x:c>
      <x:c r="K126" s="60" t="str">
        <x:v>FLAT 1, 100 CLAPHAM COMMON SOUTH SIDE LONDON, SW4 9DN</x:v>
      </x:c>
      <x:c r="L126" s="60" t="str">
        <x:v> SW4 9DN</x:v>
      </x:c>
      <x:c r="M126" s="60"/>
      <x:c r="N126" s="60" t="str">
        <x:v>SW4 9DN</x:v>
      </x:c>
      <x:c r="O126" s="61" t="n">
        <x:v>38078.5</x:v>
      </x:c>
      <x:c r="P126" s="64" t="n">
        <x:f>IF(OR(O126="",I126=""),"",IFERROR(DATEDIF(O126,I126,"m")/12,""))</x:f>
        <x:v>9.166666666666666</x:v>
      </x:c>
      <x:c r="Q126" s="60" t="str">
        <x:v>21, QUEEN STREET, KNUTSFORD, CHESHIRE, WA16 6HZ</x:v>
      </x:c>
      <x:c r="R126" s="61"/>
      <x:c r="S126" s="64" t="str">
        <x:f>IF(OR(R126="",X126=""),"",IFERROR(DATEDIF(R126,X126,"m")/12,""))</x:f>
      </x:c>
      <x:c r="T126" s="60" t="str">
        <x:v>FOUNDER</x:v>
      </x:c>
      <x:c r="U126" s="60" t="str">
        <x:v>WHATDOYOUSYNC LTD</x:v>
      </x:c>
      <x:c r="V126" s="60" t="str">
        <x:v>FLAT 1, 100 CLAPHAM COMMOM SOUTH SIDE, LONDON, SW4 9DN</x:v>
      </x:c>
      <x:c r="W126" s="63"/>
      <x:c r="X126" s="65" t="n">
        <x:f>TODAY()</x:f>
        <x:v>46250</x:v>
      </x:c>
    </x:row>
    <x:row r="127">
      <x:c r="A127" s="59" t="str">
        <x:v>CHADWICK</x:v>
      </x:c>
      <x:c r="B127" s="60" t="str">
        <x:v>CHARLOTTE</x:v>
      </x:c>
      <x:c r="C127" s="60" t="str">
        <x:v>LOUISE</x:v>
      </x:c>
      <x:c r="D127" s="61" t="n">
        <x:v>33882.5</x:v>
      </x:c>
      <x:c r="E127" s="62" t="n">
        <x:f>IF(OR(D127="",X127=""),"",IFERROR(DATEDIF(D127,X127,"y"),""))</x:f>
        <x:v>33</x:v>
      </x:c>
      <x:c r="F127" s="60" t="str">
        <x:v>BLADEN</x:v>
      </x:c>
      <x:c r="G127" s="63" t="str">
        <x:v>07950884837</x:v>
      </x:c>
      <x:c r="H127" s="63"/>
      <x:c r="I127" s="61" t="n">
        <x:v>44501.5</x:v>
      </x:c>
      <x:c r="J127" s="64" t="n">
        <x:f>IF(OR(I127="",X127=""),"",IFERROR(DATEDIF(I127,X127,"m")/12,""))</x:f>
        <x:v>4.75</x:v>
      </x:c>
      <x:c r="K127" s="60" t="str">
        <x:v>FLAT 6, 19 CLEVELAND SQUARE, LONDON , W2 6DG</x:v>
      </x:c>
      <x:c r="L127" s="60"/>
      <x:c r="M127" s="60"/>
      <x:c r="N127" s="60"/>
      <x:c r="O127" s="61" t="n">
        <x:v>44105.5</x:v>
      </x:c>
      <x:c r="P127" s="64" t="n">
        <x:f>IF(OR(O127="",I127=""),"",IFERROR(DATEDIF(O127,I127,"m")/12,""))</x:f>
        <x:v>1.0833333333333333</x:v>
      </x:c>
      <x:c r="Q127" s="60" t="str">
        <x:v>12 THE EDGE, CLOWES STREET, SALFORD, M3 5NB</x:v>
      </x:c>
      <x:c r="R127" s="61" t="n">
        <x:v>44501.5</x:v>
      </x:c>
      <x:c r="S127" s="64" t="n">
        <x:f>IF(OR(R127="",X127=""),"",IFERROR(DATEDIF(R127,X127,"m")/12,""))</x:f>
        <x:v>4.75</x:v>
      </x:c>
      <x:c r="T127" s="60" t="str">
        <x:v>GLOBAL PUBLIC RELATIONS MANAGER</x:v>
      </x:c>
      <x:c r="U127" s="60" t="str">
        <x:v>ANTHESIS GROUP</x:v>
      </x:c>
      <x:c r="V127" s="60" t="str">
        <x:v>355 EUSTON ROAD, FLOOR 1, FITZROY HOUSE, LONDON, ENGLAND NW1 3AL, GB</x:v>
      </x:c>
      <x:c r="W127" s="63" t="str">
        <x:v>01865 250 818</x:v>
      </x:c>
      <x:c r="X127" s="65" t="n">
        <x:f>TODAY()</x:f>
        <x:v>46250</x:v>
      </x:c>
    </x:row>
    <x:row r="128">
      <x:c r="A128" s="59" t="str">
        <x:v>CHAN</x:v>
      </x:c>
      <x:c r="B128" s="60" t="str">
        <x:v>AMY</x:v>
      </x:c>
      <x:c r="C128" s="60" t="str">
        <x:v>HA WAI</x:v>
      </x:c>
      <x:c r="D128" s="61" t="n">
        <x:v>27690.5</x:v>
      </x:c>
      <x:c r="E128" s="62" t="n">
        <x:f>IF(OR(D128="",X128=""),"",IFERROR(DATEDIF(D128,X128,"y"),""))</x:f>
        <x:v>50</x:v>
      </x:c>
      <x:c r="F128" s="60" t="str">
        <x:v>WONG</x:v>
      </x:c>
      <x:c r="G128" s="63"/>
      <x:c r="H128" s="63"/>
      <x:c r="I128" s="61" t="n">
        <x:v>42217.5</x:v>
      </x:c>
      <x:c r="J128" s="64" t="n">
        <x:f>IF(OR(I128="",X128=""),"",IFERROR(DATEDIF(I128,X128,"m")/12,""))</x:f>
        <x:v>11</x:v>
      </x:c>
      <x:c r="K128" s="60" t="str">
        <x:v>FLAT 7, 165 CHROMWELL ROAD, LONDON, SW5 0SQ</x:v>
      </x:c>
      <x:c r="L128" s="60" t="str">
        <x:v> SW5 0SQ</x:v>
      </x:c>
      <x:c r="M128" s="60"/>
      <x:c r="N128" s="60" t="str">
        <x:v>SW5 0SQ</x:v>
      </x:c>
      <x:c r="O128" s="61"/>
      <x:c r="P128" s="64" t="str">
        <x:f>IF(OR(O128="",I128=""),"",IFERROR(DATEDIF(O128,I128,"m")/12,""))</x:f>
      </x:c>
      <x:c r="Q128" s="60"/>
      <x:c r="R128" s="61"/>
      <x:c r="S128" s="64" t="str">
        <x:f>IF(OR(R128="",X128=""),"",IFERROR(DATEDIF(R128,X128,"m")/12,""))</x:f>
      </x:c>
      <x:c r="T128" s="60"/>
      <x:c r="U128" s="60"/>
      <x:c r="V128" s="60"/>
      <x:c r="W128" s="63"/>
      <x:c r="X128" s="65" t="n">
        <x:f>TODAY()</x:f>
        <x:v>46250</x:v>
      </x:c>
    </x:row>
    <x:row r="129">
      <x:c r="A129" s="59" t="str">
        <x:v>CHANT</x:v>
      </x:c>
      <x:c r="B129" s="60" t="str">
        <x:v>JONATHAN</x:v>
      </x:c>
      <x:c r="C129" s="60" t="str">
        <x:v>WILLIAM</x:v>
      </x:c>
      <x:c r="D129" s="61" t="n">
        <x:v>27670.5</x:v>
      </x:c>
      <x:c r="E129" s="62" t="n">
        <x:f>IF(OR(D129="",X129=""),"",IFERROR(DATEDIF(D129,X129,"y"),""))</x:f>
        <x:v>50</x:v>
      </x:c>
      <x:c r="F129" s="60" t="str">
        <x:v>RENN</x:v>
      </x:c>
      <x:c r="G129" s="63"/>
      <x:c r="H129" s="63"/>
      <x:c r="I129" s="61"/>
      <x:c r="J129" s="64" t="str">
        <x:f>IF(OR(I129="",X129=""),"",IFERROR(DATEDIF(I129,X129,"m")/12,""))</x:f>
      </x:c>
      <x:c r="K129" s="60" t="str">
        <x:v>FLAT 1, 52 QUEENS GATE GARDENS, LONDON, SW7 SNF</x:v>
      </x:c>
      <x:c r="L129" s="60" t="str">
        <x:v> SW7 SNF</x:v>
      </x:c>
      <x:c r="M129" s="60"/>
      <x:c r="N129" s="60" t="str">
        <x:v>SW7 SNF</x:v>
      </x:c>
      <x:c r="O129" s="61"/>
      <x:c r="P129" s="64" t="str">
        <x:f>IF(OR(O129="",I129=""),"",IFERROR(DATEDIF(O129,I129,"m")/12,""))</x:f>
      </x:c>
      <x:c r="Q129" s="60"/>
      <x:c r="R129" s="61"/>
      <x:c r="S129" s="64" t="str">
        <x:f>IF(OR(R129="",X129=""),"",IFERROR(DATEDIF(R129,X129,"m")/12,""))</x:f>
      </x:c>
      <x:c r="T129" s="60"/>
      <x:c r="U129" s="60"/>
      <x:c r="V129" s="60"/>
      <x:c r="W129" s="63"/>
      <x:c r="X129" s="65" t="n">
        <x:f>TODAY()</x:f>
        <x:v>46250</x:v>
      </x:c>
    </x:row>
    <x:row r="130">
      <x:c r="A130" s="59" t="str">
        <x:v>CHAPPELL</x:v>
      </x:c>
      <x:c r="B130" s="60" t="str">
        <x:v>JULIE</x:v>
      </x:c>
      <x:c r="C130" s="60" t="str">
        <x:v>LOUISE JO</x:v>
      </x:c>
      <x:c r="D130" s="61" t="n">
        <x:v>28582.5</x:v>
      </x:c>
      <x:c r="E130" s="62" t="n">
        <x:f>IF(OR(D130="",X130=""),"",IFERROR(DATEDIF(D130,X130,"y"),""))</x:f>
        <x:v>48</x:v>
      </x:c>
      <x:c r="F130" s="60" t="str">
        <x:v>EDWARDS</x:v>
      </x:c>
      <x:c r="G130" s="63"/>
      <x:c r="H130" s="63"/>
      <x:c r="I130" s="61" t="n">
        <x:v>43556.5</x:v>
      </x:c>
      <x:c r="J130" s="64" t="n">
        <x:f>IF(OR(I130="",X130=""),"",IFERROR(DATEDIF(I130,X130,"m")/12,""))</x:f>
        <x:v>7.333333333333333</x:v>
      </x:c>
      <x:c r="K130" s="60" t="n">
        <x:v>1</x:v>
      </x:c>
      <x:c r="L130" s="60"/>
      <x:c r="M130" s="60"/>
      <x:c r="N130" s="60"/>
      <x:c r="O130" s="61" t="n">
        <x:v>41852.5</x:v>
      </x:c>
      <x:c r="P130" s="64" t="n">
        <x:f>IF(OR(O130="",I130=""),"",IFERROR(DATEDIF(O130,I130,"m")/12,""))</x:f>
        <x:v>4.666666666666667</x:v>
      </x:c>
      <x:c r="Q130" s="60" t="str">
        <x:v>FLAT 4, 92, ST. GEORGES SQUARE, LONDON, LONDON, SW1V 3QY</x:v>
      </x:c>
      <x:c r="R130" s="61" t="n">
        <x:v>40634.5</x:v>
      </x:c>
      <x:c r="S130" s="64" t="n">
        <x:f>IF(OR(R130="",X130=""),"",IFERROR(DATEDIF(R130,X130,"m")/12,""))</x:f>
        <x:v>15.333333333333334</x:v>
      </x:c>
      <x:c r="T130" s="60" t="str">
        <x:v>MANAGING DIRECTOR</x:v>
      </x:c>
      <x:c r="U130" s="60" t="str">
        <x:v>LONDON &amp; PARTNERS</x:v>
      </x:c>
      <x:c r="V130" s="60" t="str">
        <x:v>6TH FLOOR, 2 MORE LONDON RIVERSIDE, LONDON, SE1 2RR</x:v>
      </x:c>
      <x:c r="W130" s="63" t="str">
        <x:v>0207 2345 800</x:v>
      </x:c>
      <x:c r="X130" s="65" t="n">
        <x:f>TODAY()</x:f>
        <x:v>46250</x:v>
      </x:c>
    </x:row>
    <x:row r="131">
      <x:c r="A131" s="59" t="str">
        <x:v>CHELLIAH</x:v>
      </x:c>
      <x:c r="B131" s="60" t="str">
        <x:v>AFSHAN</x:v>
      </x:c>
      <x:c r="C131" s="60" t="str">
        <x:v>JABEEN</x:v>
      </x:c>
      <x:c r="D131" s="61"/>
      <x:c r="E131" s="62" t="str">
        <x:f>IF(OR(D131="",X131=""),"",IFERROR(DATEDIF(D131,X131,"y"),""))</x:f>
      </x:c>
      <x:c r="F131" s="60"/>
      <x:c r="G131" s="63"/>
      <x:c r="H131" s="63"/>
      <x:c r="I131" s="61"/>
      <x:c r="J131" s="64" t="str">
        <x:f>IF(OR(I131="",X131=""),"",IFERROR(DATEDIF(I131,X131,"m")/12,""))</x:f>
      </x:c>
      <x:c r="K131" s="60" t="str">
        <x:v>FLAT 1, 6 WINDMILL DRIVE, LONDON, SW4 9DE</x:v>
      </x:c>
      <x:c r="L131" s="60" t="str">
        <x:v> SW4 9DE</x:v>
      </x:c>
      <x:c r="M131" s="60"/>
      <x:c r="N131" s="60" t="str">
        <x:v>SW4 9DE</x:v>
      </x:c>
      <x:c r="O131" s="61"/>
      <x:c r="P131" s="64" t="str">
        <x:f>IF(OR(O131="",I131=""),"",IFERROR(DATEDIF(O131,I131,"m")/12,""))</x:f>
      </x:c>
      <x:c r="Q131" s="60"/>
      <x:c r="R131" s="61"/>
      <x:c r="S131" s="64" t="str">
        <x:f>IF(OR(R131="",X131=""),"",IFERROR(DATEDIF(R131,X131,"m")/12,""))</x:f>
      </x:c>
      <x:c r="T131" s="60"/>
      <x:c r="U131" s="60"/>
      <x:c r="V131" s="60"/>
      <x:c r="W131" s="63"/>
      <x:c r="X131" s="65" t="n">
        <x:f>TODAY()</x:f>
        <x:v>46250</x:v>
      </x:c>
    </x:row>
    <x:row r="132">
      <x:c r="A132" s="59" t="str">
        <x:v>CHELLIAH</x:v>
      </x:c>
      <x:c r="B132" s="60" t="str">
        <x:v>GOPINATH</x:v>
      </x:c>
      <x:c r="C132" s="60"/>
      <x:c r="D132" s="61" t="str">
        <x:v>**/05/1966</x:v>
      </x:c>
      <x:c r="E132" s="62" t="str">
        <x:f>IF(OR(D132="",X132=""),"",IFERROR(DATEDIF(D132,X132,"y"),""))</x:f>
      </x:c>
      <x:c r="F132" s="60"/>
      <x:c r="G132" s="63"/>
      <x:c r="H132" s="63"/>
      <x:c r="I132" s="61"/>
      <x:c r="J132" s="64" t="str">
        <x:f>IF(OR(I132="",X132=""),"",IFERROR(DATEDIF(I132,X132,"m")/12,""))</x:f>
      </x:c>
      <x:c r="K132" s="60" t="str">
        <x:v>FLAT 1, 6 WINDMILL DRIVE, LONDON, SW4 9DE</x:v>
      </x:c>
      <x:c r="L132" s="60" t="str">
        <x:v> SW4 9DE</x:v>
      </x:c>
      <x:c r="M132" s="60"/>
      <x:c r="N132" s="60" t="str">
        <x:v>SW4 9DE</x:v>
      </x:c>
      <x:c r="O132" s="61"/>
      <x:c r="P132" s="64" t="str">
        <x:f>IF(OR(O132="",I132=""),"",IFERROR(DATEDIF(O132,I132,"m")/12,""))</x:f>
      </x:c>
      <x:c r="Q132" s="60"/>
      <x:c r="R132" s="61" t="n">
        <x:v>42795.5</x:v>
      </x:c>
      <x:c r="S132" s="64" t="n">
        <x:f>IF(OR(R132="",X132=""),"",IFERROR(DATEDIF(R132,X132,"m")/12,""))</x:f>
        <x:v>9.416666666666666</x:v>
      </x:c>
      <x:c r="T132" s="60" t="str">
        <x:v>TECHNOLOGY ADVISOR</x:v>
      </x:c>
      <x:c r="U132" s="60" t="str">
        <x:v>WARBURG PINCUS LLC</x:v>
      </x:c>
      <x:c r="V132" s="60" t="str">
        <x:v>ALMACK HOUSE, 28 KING ST, LONDON, SW1Y 6QW, ENGLAND</x:v>
      </x:c>
      <x:c r="W132" s="63" t="str">
        <x:v>0207306 0306</x:v>
      </x:c>
      <x:c r="X132" s="65" t="n">
        <x:f>TODAY()</x:f>
        <x:v>46250</x:v>
      </x:c>
    </x:row>
    <x:row r="133">
      <x:c r="A133" s="59" t="str">
        <x:v>CHEN</x:v>
      </x:c>
      <x:c r="B133" s="60" t="str">
        <x:v>JIUN YU</x:v>
      </x:c>
      <x:c r="C133" s="60"/>
      <x:c r="D133" s="61" t="n">
        <x:v>35122.5</x:v>
      </x:c>
      <x:c r="E133" s="62" t="n">
        <x:f>IF(OR(D133="",X133=""),"",IFERROR(DATEDIF(D133,X133,"y"),""))</x:f>
        <x:v>30</x:v>
      </x:c>
      <x:c r="F133" s="60"/>
      <x:c r="G133" s="63"/>
      <x:c r="H133" s="63" t="str">
        <x:v>TL716283D</x:v>
      </x:c>
      <x:c r="I133" s="61"/>
      <x:c r="J133" s="64" t="str">
        <x:f>IF(OR(I133="",X133=""),"",IFERROR(DATEDIF(I133,X133,"m")/12,""))</x:f>
      </x:c>
      <x:c r="K133" s="60" t="str">
        <x:v>FLAT 22,
5 SOUTHWELL GARDENS, LONDON,
SW7 4S8</x:v>
      </x:c>
      <x:c r="L133" s="60" t="str">
        <x:v>
SW7 4S8</x:v>
      </x:c>
      <x:c r="M133" s="60"/>
      <x:c r="N133" s="60" t="str">
        <x:v>SW7 4S8</x:v>
      </x:c>
      <x:c r="O133" s="61"/>
      <x:c r="P133" s="64" t="str">
        <x:f>IF(OR(O133="",I133=""),"",IFERROR(DATEDIF(O133,I133,"m")/12,""))</x:f>
      </x:c>
      <x:c r="Q133" s="60"/>
      <x:c r="R133" s="61"/>
      <x:c r="S133" s="64" t="str">
        <x:f>IF(OR(R133="",X133=""),"",IFERROR(DATEDIF(R133,X133,"m")/12,""))</x:f>
      </x:c>
      <x:c r="T133" s="60"/>
      <x:c r="U133" s="60"/>
      <x:c r="V133" s="60"/>
      <x:c r="W133" s="63"/>
      <x:c r="X133" s="65" t="n">
        <x:f>TODAY()</x:f>
        <x:v>46250</x:v>
      </x:c>
    </x:row>
    <x:row r="134">
      <x:c r="A134" s="59" t="str">
        <x:v>CHESHIRE</x:v>
      </x:c>
      <x:c r="B134" s="60" t="str">
        <x:v>MICHAEL</x:v>
      </x:c>
      <x:c r="C134" s="60" t="str">
        <x:v>GARETH</x:v>
      </x:c>
      <x:c r="D134" s="61" t="n">
        <x:v>30289.5</x:v>
      </x:c>
      <x:c r="E134" s="62" t="n">
        <x:f>IF(OR(D134="",X134=""),"",IFERROR(DATEDIF(D134,X134,"y"),""))</x:f>
        <x:v>43</x:v>
      </x:c>
      <x:c r="F134" s="60" t="str">
        <x:v>MCCADDEN</x:v>
      </x:c>
      <x:c r="G134" s="63"/>
      <x:c r="H134" s="63"/>
      <x:c r="I134" s="61" t="n">
        <x:v>43405.5</x:v>
      </x:c>
      <x:c r="J134" s="64" t="n">
        <x:f>IF(OR(I134="",X134=""),"",IFERROR(DATEDIF(I134,X134,"m")/12,""))</x:f>
        <x:v>7.75</x:v>
      </x:c>
      <x:c r="K134" s="60" t="str">
        <x:v>FLAT 1, 47 BREWER STREET, LONDON, W1F 9UF</x:v>
      </x:c>
      <x:c r="L134" s="60"/>
      <x:c r="M134" s="60"/>
      <x:c r="N134" s="60"/>
      <x:c r="O134" s="61" t="n">
        <x:v>42522.5</x:v>
      </x:c>
      <x:c r="P134" s="64" t="n">
        <x:f>IF(OR(O134="",I134=""),"",IFERROR(DATEDIF(O134,I134,"m")/12,""))</x:f>
        <x:v>2.4166666666666665</x:v>
      </x:c>
      <x:c r="Q134" s="60" t="str">
        <x:v>FLAT 2, 49, NEWMAN STREET, LONDON, W1T 3DZ</x:v>
      </x:c>
      <x:c r="R134" s="61"/>
      <x:c r="S134" s="64" t="str">
        <x:f>IF(OR(R134="",X134=""),"",IFERROR(DATEDIF(R134,X134,"m")/12,""))</x:f>
      </x:c>
      <x:c r="T134" s="60"/>
      <x:c r="U134" s="60"/>
      <x:c r="V134" s="60"/>
      <x:c r="W134" s="63"/>
      <x:c r="X134" s="65" t="n">
        <x:f>TODAY()</x:f>
        <x:v>46250</x:v>
      </x:c>
    </x:row>
    <x:row r="135">
      <x:c r="A135" s="59" t="str">
        <x:v>CHETAN</x:v>
      </x:c>
      <x:c r="B135" s="60" t="str">
        <x:v>VIBHA</x:v>
      </x:c>
      <x:c r="C135" s="60"/>
      <x:c r="D135" s="61" t="n">
        <x:v>35504.5</x:v>
      </x:c>
      <x:c r="E135" s="62" t="n">
        <x:f>IF(OR(D135="",X135=""),"",IFERROR(DATEDIF(D135,X135,"y"),""))</x:f>
        <x:v>29</x:v>
      </x:c>
      <x:c r="F135" s="60"/>
      <x:c r="G135" s="63"/>
      <x:c r="H135" s="63"/>
      <x:c r="I135" s="61"/>
      <x:c r="J135" s="64" t="str">
        <x:f>IF(OR(I135="",X135=""),"",IFERROR(DATEDIF(I135,X135,"m")/12,""))</x:f>
      </x:c>
      <x:c r="K135" s="60" t="str">
        <x:v>FLAT 5,
5 SOUTHWELL GARDENS, LONDON,
SW7 4S8</x:v>
      </x:c>
      <x:c r="L135" s="60" t="str">
        <x:v>
SW7 4S8</x:v>
      </x:c>
      <x:c r="M135" s="60"/>
      <x:c r="N135" s="60" t="str">
        <x:v>SW7 4S8</x:v>
      </x:c>
      <x:c r="O135" s="61"/>
      <x:c r="P135" s="64" t="str">
        <x:f>IF(OR(O135="",I135=""),"",IFERROR(DATEDIF(O135,I135,"m")/12,""))</x:f>
      </x:c>
      <x:c r="Q135" s="60"/>
      <x:c r="R135" s="61"/>
      <x:c r="S135" s="64" t="str">
        <x:f>IF(OR(R135="",X135=""),"",IFERROR(DATEDIF(R135,X135,"m")/12,""))</x:f>
      </x:c>
      <x:c r="T135" s="60"/>
      <x:c r="U135" s="60"/>
      <x:c r="V135" s="60"/>
      <x:c r="W135" s="63"/>
      <x:c r="X135" s="65" t="n">
        <x:f>TODAY()</x:f>
        <x:v>46250</x:v>
      </x:c>
    </x:row>
    <x:row r="136">
      <x:c r="A136" s="59" t="str">
        <x:v>CHOI</x:v>
      </x:c>
      <x:c r="B136" s="60" t="str">
        <x:v>YOON JUNG</x:v>
      </x:c>
      <x:c r="C136" s="60"/>
      <x:c r="D136" s="61" t="n">
        <x:v>34418.5</x:v>
      </x:c>
      <x:c r="E136" s="62" t="n">
        <x:f>IF(OR(D136="",X136=""),"",IFERROR(DATEDIF(D136,X136,"y"),""))</x:f>
        <x:v>32</x:v>
      </x:c>
      <x:c r="F136" s="60"/>
      <x:c r="G136" s="63" t="str">
        <x:v>07592247574</x:v>
      </x:c>
      <x:c r="H136" s="63"/>
      <x:c r="I136" s="61" t="n">
        <x:v>42583.5</x:v>
      </x:c>
      <x:c r="J136" s="64" t="n">
        <x:f>IF(OR(I136="",X136=""),"",IFERROR(DATEDIF(I136,X136,"m")/12,""))</x:f>
        <x:v>10</x:v>
      </x:c>
      <x:c r="K136" s="60" t="str">
        <x:v>FLAT 13, 13 NEVERN SQUARE, LONDON, SW5 9NW</x:v>
      </x:c>
      <x:c r="L136" s="60" t="str">
        <x:v> SW5 9NW</x:v>
      </x:c>
      <x:c r="M136" s="60"/>
      <x:c r="N136" s="60" t="str">
        <x:v>SW5 9NW</x:v>
      </x:c>
      <x:c r="O136" s="61" t="n">
        <x:v>42248.5</x:v>
      </x:c>
      <x:c r="P136" s="64" t="n">
        <x:f>IF(OR(O136="",I136=""),"",IFERROR(DATEDIF(O136,I136,"m")/12,""))</x:f>
        <x:v>0.9166666666666666</x:v>
      </x:c>
      <x:c r="Q136" s="60" t="str">
        <x:v>FLAT 43, BROXHOLME HOUSE, HARWOOD ROAD, LONDON, SW6 4AA</x:v>
      </x:c>
      <x:c r="R136" s="61" t="n">
        <x:v>45658.5</x:v>
      </x:c>
      <x:c r="S136" s="64" t="n">
        <x:f>IF(OR(R136="",X136=""),"",IFERROR(DATEDIF(R136,X136,"m")/12,""))</x:f>
        <x:v>1.5833333333333333</x:v>
      </x:c>
      <x:c r="T136" s="60" t="str">
        <x:v>SENIOR MANAGER</x:v>
      </x:c>
      <x:c r="U136" s="60" t="str">
        <x:v>BARINGA PARTNERS LLP</x:v>
      </x:c>
      <x:c r="V136" s="60" t="str">
        <x:v>62 BUCKINGHAM GATE, LONDON, ENGLAND SW1E 6AJ</x:v>
      </x:c>
      <x:c r="W136" s="63"/>
      <x:c r="X136" s="65" t="n">
        <x:f>TODAY()</x:f>
        <x:v>46250</x:v>
      </x:c>
    </x:row>
    <x:row r="137">
      <x:c r="A137" s="59" t="str">
        <x:v>CHOUANARD</x:v>
      </x:c>
      <x:c r="B137" s="60" t="str">
        <x:v>DAMIEN</x:v>
      </x:c>
      <x:c r="C137" s="60"/>
      <x:c r="D137" s="61" t="n">
        <x:v>28329.5</x:v>
      </x:c>
      <x:c r="E137" s="62" t="n">
        <x:f>IF(OR(D137="",X137=""),"",IFERROR(DATEDIF(D137,X137,"y"),""))</x:f>
        <x:v>49</x:v>
      </x:c>
      <x:c r="F137" s="60"/>
      <x:c r="G137" s="63"/>
      <x:c r="H137" s="63"/>
      <x:c r="I137" s="61" t="n">
        <x:v>43221.5</x:v>
      </x:c>
      <x:c r="J137" s="64" t="n">
        <x:f>IF(OR(I137="",X137=""),"",IFERROR(DATEDIF(I137,X137,"m")/12,""))</x:f>
        <x:v>8.25</x:v>
      </x:c>
      <x:c r="K137" s="60" t="str">
        <x:v>FLAT 7, 43, PHILBEACH GARDENS, LONDON, LONDON, SW5 9EB</x:v>
      </x:c>
      <x:c r="L137" s="60" t="str">
        <x:v> LONDON, SW5 9EB</x:v>
      </x:c>
      <x:c r="M137" s="60"/>
      <x:c r="N137" s="60" t="str">
        <x:v> SW5 9EB</x:v>
      </x:c>
      <x:c r="O137" s="61" t="n">
        <x:v>41791.5</x:v>
      </x:c>
      <x:c r="P137" s="64" t="n">
        <x:f>IF(OR(O137="",I137=""),"",IFERROR(DATEDIF(O137,I137,"m")/12,""))</x:f>
        <x:v>3.9166666666666665</x:v>
      </x:c>
      <x:c r="Q137" s="60" t="str">
        <x:v>7D, PENYWERN ROAD, LONDON, LONDON, SW5 9TT</x:v>
      </x:c>
      <x:c r="R137" s="61"/>
      <x:c r="S137" s="64" t="str">
        <x:f>IF(OR(R137="",X137=""),"",IFERROR(DATEDIF(R137,X137,"m")/12,""))</x:f>
      </x:c>
      <x:c r="T137" s="60"/>
      <x:c r="U137" s="60"/>
      <x:c r="V137" s="60"/>
      <x:c r="W137" s="63"/>
      <x:c r="X137" s="65" t="n">
        <x:f>TODAY()</x:f>
        <x:v>46250</x:v>
      </x:c>
    </x:row>
    <x:row r="138">
      <x:c r="A138" s="59" t="str">
        <x:v>CHOW</x:v>
      </x:c>
      <x:c r="B138" s="60" t="str">
        <x:v>YIT</x:v>
      </x:c>
      <x:c r="C138" s="60" t="str">
        <x:v>MAY</x:v>
      </x:c>
      <x:c r="D138" s="61" t="n">
        <x:v>25250.5</x:v>
      </x:c>
      <x:c r="E138" s="62" t="n">
        <x:f>IF(OR(D138="",X138=""),"",IFERROR(DATEDIF(D138,X138,"y"),""))</x:f>
        <x:v>57</x:v>
      </x:c>
      <x:c r="F138" s="60"/>
      <x:c r="G138" s="63"/>
      <x:c r="H138" s="63"/>
      <x:c r="I138" s="61" t="n">
        <x:v>41671.5</x:v>
      </x:c>
      <x:c r="J138" s="64" t="n">
        <x:f>IF(OR(I138="",X138=""),"",IFERROR(DATEDIF(I138,X138,"m")/12,""))</x:f>
        <x:v>12.5</x:v>
      </x:c>
      <x:c r="K138" s="60" t="str">
        <x:v>FLAT 2, 16A GREYHOUND ROAD, LONDON, W6 8NX</x:v>
      </x:c>
      <x:c r="L138" s="60" t="str">
        <x:v> W6 8NX</x:v>
      </x:c>
      <x:c r="M138" s="60"/>
      <x:c r="N138" s="60" t="str">
        <x:v>W6 8NX</x:v>
      </x:c>
      <x:c r="O138" s="61"/>
      <x:c r="P138" s="64" t="str">
        <x:f>IF(OR(O138="",I138=""),"",IFERROR(DATEDIF(O138,I138,"m")/12,""))</x:f>
      </x:c>
      <x:c r="Q138" s="60"/>
      <x:c r="R138" s="61"/>
      <x:c r="S138" s="64" t="str">
        <x:f>IF(OR(R138="",X138=""),"",IFERROR(DATEDIF(R138,X138,"m")/12,""))</x:f>
      </x:c>
      <x:c r="T138" s="60"/>
      <x:c r="U138" s="60"/>
      <x:c r="V138" s="60"/>
      <x:c r="W138" s="63"/>
      <x:c r="X138" s="65" t="n">
        <x:f>TODAY()</x:f>
        <x:v>46250</x:v>
      </x:c>
    </x:row>
    <x:row r="139">
      <x:c r="A139" s="59" t="str">
        <x:v>CHRISTACOPOULOS</x:v>
      </x:c>
      <x:c r="B139" s="60" t="str">
        <x:v>JOHN</x:v>
      </x:c>
      <x:c r="C139" s="60"/>
      <x:c r="D139" s="61" t="n">
        <x:v>19185.5</x:v>
      </x:c>
      <x:c r="E139" s="62" t="n">
        <x:f>IF(OR(D139="",X139=""),"",IFERROR(DATEDIF(D139,X139,"y"),""))</x:f>
        <x:v>74</x:v>
      </x:c>
      <x:c r="F139" s="60"/>
      <x:c r="G139" s="63"/>
      <x:c r="H139" s="63"/>
      <x:c r="I139" s="61"/>
      <x:c r="J139" s="64" t="str">
        <x:f>IF(OR(I139="",X139=""),"",IFERROR(DATEDIF(I139,X139,"m")/12,""))</x:f>
      </x:c>
      <x:c r="K139" s="60" t="str">
        <x:v>FLAT 2, 292-294 FULHAM ROAD CHELSEA, LONDON, SW10 9EW</x:v>
      </x:c>
      <x:c r="L139" s="60" t="str">
        <x:v> SW10 9EW</x:v>
      </x:c>
      <x:c r="M139" s="60"/>
      <x:c r="N139" s="60" t="str">
        <x:v>SW10 9EW</x:v>
      </x:c>
      <x:c r="O139" s="61"/>
      <x:c r="P139" s="64" t="str">
        <x:f>IF(OR(O139="",I139=""),"",IFERROR(DATEDIF(O139,I139,"m")/12,""))</x:f>
      </x:c>
      <x:c r="Q139" s="60"/>
      <x:c r="R139" s="61"/>
      <x:c r="S139" s="64" t="str">
        <x:f>IF(OR(R139="",X139=""),"",IFERROR(DATEDIF(R139,X139,"m")/12,""))</x:f>
      </x:c>
      <x:c r="T139" s="60"/>
      <x:c r="U139" s="60"/>
      <x:c r="V139" s="60"/>
      <x:c r="W139" s="63"/>
      <x:c r="X139" s="65" t="n">
        <x:f>TODAY()</x:f>
        <x:v>46250</x:v>
      </x:c>
    </x:row>
    <x:row r="140">
      <x:c r="A140" s="59" t="str">
        <x:v>CHRISTOPHER</x:v>
      </x:c>
      <x:c r="B140" s="60" t="str">
        <x:v>OBINNA NWIBA</x:v>
      </x:c>
      <x:c r="C140" s="60" t="str">
        <x:v>PASCHAL</x:v>
      </x:c>
      <x:c r="D140" s="61" t="n">
        <x:v>34136.5</x:v>
      </x:c>
      <x:c r="E140" s="62" t="n">
        <x:f>IF(OR(D140="",X140=""),"",IFERROR(DATEDIF(D140,X140,"y"),""))</x:f>
        <x:v>33</x:v>
      </x:c>
      <x:c r="F140" s="60" t="str">
        <x:v>EGWUH</x:v>
      </x:c>
      <x:c r="G140" s="63"/>
      <x:c r="H140" s="63" t="str">
        <x:v>JX223442C</x:v>
      </x:c>
      <x:c r="I140" s="61"/>
      <x:c r="J140" s="64" t="str">
        <x:f>IF(OR(I140="",X140=""),"",IFERROR(DATEDIF(I140,X140,"m")/12,""))</x:f>
      </x:c>
      <x:c r="K140" s="60" t="str">
        <x:v>ROOM 9, 51 CLAPHAM COMMON SOUTH SIDE, LONDON, SW4 9BX</x:v>
      </x:c>
      <x:c r="L140" s="60" t="str">
        <x:v> SW4 9BX</x:v>
      </x:c>
      <x:c r="M140" s="60"/>
      <x:c r="N140" s="60" t="str">
        <x:v>SW4 9BX</x:v>
      </x:c>
      <x:c r="O140" s="61"/>
      <x:c r="P140" s="64" t="str">
        <x:f>IF(OR(O140="",I140=""),"",IFERROR(DATEDIF(O140,I140,"m")/12,""))</x:f>
      </x:c>
      <x:c r="Q140" s="60"/>
      <x:c r="R140" s="61"/>
      <x:c r="S140" s="64" t="str">
        <x:f>IF(OR(R140="",X140=""),"",IFERROR(DATEDIF(R140,X140,"m")/12,""))</x:f>
      </x:c>
      <x:c r="T140" s="60"/>
      <x:c r="U140" s="60"/>
      <x:c r="V140" s="60"/>
      <x:c r="W140" s="63"/>
      <x:c r="X140" s="65" t="n">
        <x:f>TODAY()</x:f>
        <x:v>46250</x:v>
      </x:c>
    </x:row>
    <x:row r="141">
      <x:c r="A141" s="59" t="str">
        <x:v>CHRYZAN</x:v>
      </x:c>
      <x:c r="B141" s="60" t="str">
        <x:v>FERNANDEZ</x:v>
      </x:c>
      <x:c r="C141" s="60"/>
      <x:c r="D141" s="61" t="n">
        <x:v>45008.5</x:v>
      </x:c>
      <x:c r="E141" s="62" t="n">
        <x:f>IF(OR(D141="",X141=""),"",IFERROR(DATEDIF(D141,X141,"y"),""))</x:f>
        <x:v>3</x:v>
      </x:c>
      <x:c r="F141" s="60"/>
      <x:c r="G141" s="63"/>
      <x:c r="H141" s="63"/>
      <x:c r="I141" s="61"/>
      <x:c r="J141" s="64" t="str">
        <x:f>IF(OR(I141="",X141=""),"",IFERROR(DATEDIF(I141,X141,"m")/12,""))</x:f>
      </x:c>
      <x:c r="K141" s="60"/>
      <x:c r="L141" s="60"/>
      <x:c r="M141" s="60"/>
      <x:c r="N141" s="60"/>
      <x:c r="O141" s="61"/>
      <x:c r="P141" s="64" t="str">
        <x:f>IF(OR(O141="",I141=""),"",IFERROR(DATEDIF(O141,I141,"m")/12,""))</x:f>
      </x:c>
      <x:c r="Q141" s="60"/>
      <x:c r="R141" s="61"/>
      <x:c r="S141" s="64" t="str">
        <x:f>IF(OR(R141="",X141=""),"",IFERROR(DATEDIF(R141,X141,"m")/12,""))</x:f>
      </x:c>
      <x:c r="T141" s="60"/>
      <x:c r="U141" s="60"/>
      <x:c r="V141" s="60"/>
      <x:c r="W141" s="63"/>
      <x:c r="X141" s="65" t="n">
        <x:f>TODAY()</x:f>
        <x:v>46250</x:v>
      </x:c>
    </x:row>
    <x:row r="142">
      <x:c r="A142" s="59" t="str">
        <x:v>CIPOLLINI</x:v>
      </x:c>
      <x:c r="B142" s="60" t="str">
        <x:v>ALESSANDRO</x:v>
      </x:c>
      <x:c r="C142" s="60" t="str">
        <x:v>PAOLO LUIGI</x:v>
      </x:c>
      <x:c r="D142" s="61" t="n">
        <x:v>29475.5</x:v>
      </x:c>
      <x:c r="E142" s="62" t="n">
        <x:f>IF(OR(D142="",X142=""),"",IFERROR(DATEDIF(D142,X142,"y"),""))</x:f>
        <x:v>45</x:v>
      </x:c>
      <x:c r="F142" s="60"/>
      <x:c r="G142" s="63"/>
      <x:c r="H142" s="63"/>
      <x:c r="I142" s="61" t="n">
        <x:v>40664.5</x:v>
      </x:c>
      <x:c r="J142" s="64" t="n">
        <x:f>IF(OR(I142="",X142=""),"",IFERROR(DATEDIF(I142,X142,"m")/12,""))</x:f>
        <x:v>15.25</x:v>
      </x:c>
      <x:c r="K142" s="60" t="str">
        <x:v>FLAT 1, 26-28 ELM PARK ROAD LONDON \ SW36AX</x:v>
      </x:c>
      <x:c r="L142" s="60"/>
      <x:c r="M142" s="60"/>
      <x:c r="N142" s="60"/>
      <x:c r="O142" s="61" t="n">
        <x:v>39722.5</x:v>
      </x:c>
      <x:c r="P142" s="64" t="n">
        <x:f>IF(OR(O142="",I142=""),"",IFERROR(DATEDIF(O142,I142,"m")/12,""))</x:f>
        <x:v>2.5833333333333335</x:v>
      </x:c>
      <x:c r="Q142" s="60" t="str">
        <x:v>FLAT 2, 65, REDCLIFFE ROAD, LONDON, LONDON, SW10 9NQ</x:v>
      </x:c>
      <x:c r="R142" s="61"/>
      <x:c r="S142" s="64" t="str">
        <x:f>IF(OR(R142="",X142=""),"",IFERROR(DATEDIF(R142,X142,"m")/12,""))</x:f>
      </x:c>
      <x:c r="T142" s="60" t="str">
        <x:v>PARTNER</x:v>
      </x:c>
      <x:c r="U142" s="60" t="str">
        <x:v>ERMITAGE INVESTMENTS</x:v>
      </x:c>
      <x:c r="V142" s="60"/>
      <x:c r="W142" s="63"/>
      <x:c r="X142" s="65" t="n">
        <x:f>TODAY()</x:f>
        <x:v>46250</x:v>
      </x:c>
    </x:row>
    <x:row r="143">
      <x:c r="A143" s="59" t="str">
        <x:v>CIPOLLONE</x:v>
      </x:c>
      <x:c r="B143" s="60" t="str">
        <x:v>SALVATORE</x:v>
      </x:c>
      <x:c r="C143" s="60"/>
      <x:c r="D143" s="61" t="n">
        <x:v>34388.5</x:v>
      </x:c>
      <x:c r="E143" s="62" t="n">
        <x:f>IF(OR(D143="",X143=""),"",IFERROR(DATEDIF(D143,X143,"y"),""))</x:f>
        <x:v>32</x:v>
      </x:c>
      <x:c r="F143" s="60"/>
      <x:c r="G143" s="63"/>
      <x:c r="H143" s="63"/>
      <x:c r="I143" s="61" t="n">
        <x:v>43862.5</x:v>
      </x:c>
      <x:c r="J143" s="64" t="n">
        <x:f>IF(OR(I143="",X143=""),"",IFERROR(DATEDIF(I143,X143,"m")/12,""))</x:f>
        <x:v>6.5</x:v>
      </x:c>
      <x:c r="K143" s="60" t="str">
        <x:v>30-31 PHILBEACH GARDENS, LONDON, SW5 9EB</x:v>
      </x:c>
      <x:c r="L143" s="60" t="str">
        <x:v> SW5 9EB</x:v>
      </x:c>
      <x:c r="M143" s="60"/>
      <x:c r="N143" s="60" t="str">
        <x:v>SW5 9EB</x:v>
      </x:c>
      <x:c r="O143" s="61"/>
      <x:c r="P143" s="64" t="str">
        <x:f>IF(OR(O143="",I143=""),"",IFERROR(DATEDIF(O143,I143,"m")/12,""))</x:f>
      </x:c>
      <x:c r="Q143" s="60"/>
      <x:c r="R143" s="61" t="n">
        <x:v>44774.5</x:v>
      </x:c>
      <x:c r="S143" s="64" t="n">
        <x:f>IF(OR(R143="",X143=""),"",IFERROR(DATEDIF(R143,X143,"m")/12,""))</x:f>
        <x:v>4</x:v>
      </x:c>
      <x:c r="T143" s="60" t="str">
        <x:v>PRIVATE EQUITY ASSOCIATE</x:v>
      </x:c>
      <x:c r="U143" s="60" t="str">
        <x:v>STONEPEAK</x:v>
      </x:c>
      <x:c r="V143" s="60" t="str">
        <x:v>58 GROSVENOR STREET, LONDON, ENGLAND W1K 3JB</x:v>
      </x:c>
      <x:c r="W143" s="63"/>
      <x:c r="X143" s="65" t="n">
        <x:f>TODAY()</x:f>
        <x:v>46250</x:v>
      </x:c>
    </x:row>
    <x:row r="144">
      <x:c r="A144" s="59" t="str">
        <x:v>CIRESI</x:v>
      </x:c>
      <x:c r="B144" s="60" t="str">
        <x:v>CHRISTINA</x:v>
      </x:c>
      <x:c r="C144" s="60" t="str">
        <x:v>ALINA</x:v>
      </x:c>
      <x:c r="D144" s="61" t="n">
        <x:v>31683.5</x:v>
      </x:c>
      <x:c r="E144" s="62" t="n">
        <x:f>IF(OR(D144="",X144=""),"",IFERROR(DATEDIF(D144,X144,"y"),""))</x:f>
        <x:v>39</x:v>
      </x:c>
      <x:c r="F144" s="60"/>
      <x:c r="G144" s="63"/>
      <x:c r="H144" s="63" t="str">
        <x:v>SS243158B</x:v>
      </x:c>
      <x:c r="I144" s="61"/>
      <x:c r="J144" s="64" t="str">
        <x:f>IF(OR(I144="",X144=""),"",IFERROR(DATEDIF(I144,X144,"m")/12,""))</x:f>
      </x:c>
      <x:c r="K144" s="60"/>
      <x:c r="L144" s="60"/>
      <x:c r="M144" s="60"/>
      <x:c r="N144" s="60"/>
      <x:c r="O144" s="61"/>
      <x:c r="P144" s="64" t="str">
        <x:f>IF(OR(O144="",I144=""),"",IFERROR(DATEDIF(O144,I144,"m")/12,""))</x:f>
      </x:c>
      <x:c r="Q144" s="60"/>
      <x:c r="R144" s="61"/>
      <x:c r="S144" s="64" t="str">
        <x:f>IF(OR(R144="",X144=""),"",IFERROR(DATEDIF(R144,X144,"m")/12,""))</x:f>
      </x:c>
      <x:c r="T144" s="60"/>
      <x:c r="U144" s="60"/>
      <x:c r="V144" s="60"/>
      <x:c r="W144" s="63"/>
      <x:c r="X144" s="65" t="n">
        <x:f>TODAY()</x:f>
        <x:v>46250</x:v>
      </x:c>
    </x:row>
    <x:row r="145">
      <x:c r="A145" s="59" t="str">
        <x:v>CLAGUE</x:v>
      </x:c>
      <x:c r="B145" s="60" t="str">
        <x:v>JAMES</x:v>
      </x:c>
      <x:c r="C145" s="60" t="str">
        <x:v>DOUGLAS</x:v>
      </x:c>
      <x:c r="D145" s="61" t="n">
        <x:v>30680.5</x:v>
      </x:c>
      <x:c r="E145" s="62" t="n">
        <x:f>IF(OR(D145="",X145=""),"",IFERROR(DATEDIF(D145,X145,"y"),""))</x:f>
        <x:v>42</x:v>
      </x:c>
      <x:c r="F145" s="60"/>
      <x:c r="G145" s="63"/>
      <x:c r="H145" s="63"/>
      <x:c r="I145" s="61" t="n">
        <x:v>40664.5</x:v>
      </x:c>
      <x:c r="J145" s="64" t="n">
        <x:f>IF(OR(I145="",X145=""),"",IFERROR(DATEDIF(I145,X145,"m")/12,""))</x:f>
        <x:v>15.25</x:v>
      </x:c>
      <x:c r="K145" s="60" t="str">
        <x:v>FLAT D CRABTREE HALL, 70 CRABTREE LANE, LONDON, SW6 6AR</x:v>
      </x:c>
      <x:c r="L145" s="60" t="str">
        <x:v> SW6 6AR</x:v>
      </x:c>
      <x:c r="M145" s="60"/>
      <x:c r="N145" s="60" t="str">
        <x:v>SW6 6AR</x:v>
      </x:c>
      <x:c r="O145" s="61"/>
      <x:c r="P145" s="64" t="str">
        <x:f>IF(OR(O145="",I145=""),"",IFERROR(DATEDIF(O145,I145,"m")/12,""))</x:f>
      </x:c>
      <x:c r="Q145" s="60"/>
      <x:c r="R145" s="61"/>
      <x:c r="S145" s="64" t="str">
        <x:f>IF(OR(R145="",X145=""),"",IFERROR(DATEDIF(R145,X145,"m")/12,""))</x:f>
      </x:c>
      <x:c r="T145" s="60" t="str">
        <x:v>PSYCHOTHERAPIST</x:v>
      </x:c>
      <x:c r="U145" s="60"/>
      <x:c r="V145" s="60"/>
      <x:c r="W145" s="63"/>
      <x:c r="X145" s="65" t="n">
        <x:f>TODAY()</x:f>
        <x:v>46250</x:v>
      </x:c>
    </x:row>
    <x:row r="146">
      <x:c r="A146" s="59" t="str">
        <x:v>CLAMP</x:v>
      </x:c>
      <x:c r="B146" s="60" t="str">
        <x:v>FREDERICK</x:v>
      </x:c>
      <x:c r="C146" s="60" t="str">
        <x:v>THOMAS</x:v>
      </x:c>
      <x:c r="D146" s="61" t="str">
        <x:v>**/05/1991</x:v>
      </x:c>
      <x:c r="E146" s="62" t="str">
        <x:f>IF(OR(D146="",X146=""),"",IFERROR(DATEDIF(D146,X146,"y"),""))</x:f>
      </x:c>
      <x:c r="F146" s="60" t="str">
        <x:v>OWEN</x:v>
      </x:c>
      <x:c r="G146" s="63"/>
      <x:c r="H146" s="63"/>
      <x:c r="I146" s="61"/>
      <x:c r="J146" s="64" t="str">
        <x:f>IF(OR(I146="",X146=""),"",IFERROR(DATEDIF(I146,X146,"m")/12,""))</x:f>
      </x:c>
      <x:c r="K146" s="60" t="str">
        <x:v>FLAT 5, HEATH VIEW, 8 WINDMILL DRIVE, LONDON, SW4 9DE</x:v>
      </x:c>
      <x:c r="L146" s="60" t="str">
        <x:v> SW4 9DE</x:v>
      </x:c>
      <x:c r="M146" s="60"/>
      <x:c r="N146" s="60" t="str">
        <x:v>SW4 9DE</x:v>
      </x:c>
      <x:c r="O146" s="61"/>
      <x:c r="P146" s="64" t="str">
        <x:f>IF(OR(O146="",I146=""),"",IFERROR(DATEDIF(O146,I146,"m")/12,""))</x:f>
      </x:c>
      <x:c r="Q146" s="60"/>
      <x:c r="R146" s="61"/>
      <x:c r="S146" s="64" t="str">
        <x:f>IF(OR(R146="",X146=""),"",IFERROR(DATEDIF(R146,X146,"m")/12,""))</x:f>
      </x:c>
      <x:c r="T146" s="60"/>
      <x:c r="U146" s="60"/>
      <x:c r="V146" s="60"/>
      <x:c r="W146" s="63"/>
      <x:c r="X146" s="65" t="n">
        <x:f>TODAY()</x:f>
        <x:v>46250</x:v>
      </x:c>
    </x:row>
    <x:row r="147">
      <x:c r="A147" s="59" t="str">
        <x:v>CLARK</x:v>
      </x:c>
      <x:c r="B147" s="60" t="str">
        <x:v>MATTHEW</x:v>
      </x:c>
      <x:c r="C147" s="60" t="str">
        <x:v>RAYMOND</x:v>
      </x:c>
      <x:c r="D147" s="61" t="str">
        <x:v>**/04/1997</x:v>
      </x:c>
      <x:c r="E147" s="62" t="str">
        <x:f>IF(OR(D147="",X147=""),"",IFERROR(DATEDIF(D147,X147,"y"),""))</x:f>
      </x:c>
      <x:c r="F147" s="60" t="str">
        <x:v>PELEKHATAYA</x:v>
      </x:c>
      <x:c r="G147" s="63"/>
      <x:c r="H147" s="63" t="str">
        <x:v>SZ308113B</x:v>
      </x:c>
      <x:c r="I147" s="61"/>
      <x:c r="J147" s="64" t="str">
        <x:f>IF(OR(I147="",X147=""),"",IFERROR(DATEDIF(I147,X147,"m")/12,""))</x:f>
      </x:c>
      <x:c r="K147" s="60" t="str">
        <x:v>FLAT C, 17 LANCASTER GATE, LONDON, W2 3LH</x:v>
      </x:c>
      <x:c r="L147" s="60" t="str">
        <x:v> W2 3LH</x:v>
      </x:c>
      <x:c r="M147" s="60"/>
      <x:c r="N147" s="60" t="str">
        <x:v>W2 3LH</x:v>
      </x:c>
      <x:c r="O147" s="61"/>
      <x:c r="P147" s="64" t="str">
        <x:f>IF(OR(O147="",I147=""),"",IFERROR(DATEDIF(O147,I147,"m")/12,""))</x:f>
      </x:c>
      <x:c r="Q147" s="60"/>
      <x:c r="R147" s="61"/>
      <x:c r="S147" s="64" t="str">
        <x:f>IF(OR(R147="",X147=""),"",IFERROR(DATEDIF(R147,X147,"m")/12,""))</x:f>
      </x:c>
      <x:c r="T147" s="60"/>
      <x:c r="U147" s="60" t="str">
        <x:v>IMG MEDIA LTD</x:v>
      </x:c>
      <x:c r="V147" s="60"/>
      <x:c r="W147" s="63"/>
      <x:c r="X147" s="65" t="n">
        <x:f>TODAY()</x:f>
        <x:v>46250</x:v>
      </x:c>
    </x:row>
    <x:row r="148">
      <x:c r="A148" s="59" t="str">
        <x:v>CLARK</x:v>
      </x:c>
      <x:c r="B148" s="60" t="str">
        <x:v>RAYMOND</x:v>
      </x:c>
      <x:c r="C148" s="60" t="str">
        <x:v>ALAN</x:v>
      </x:c>
      <x:c r="D148" s="61" t="n">
        <x:v>18169.5</x:v>
      </x:c>
      <x:c r="E148" s="62" t="n">
        <x:f>IF(OR(D148="",X148=""),"",IFERROR(DATEDIF(D148,X148,"y"),""))</x:f>
        <x:v>76</x:v>
      </x:c>
      <x:c r="F148" s="60"/>
      <x:c r="G148" s="63" t="str">
        <x:v>07831857446</x:v>
      </x:c>
      <x:c r="H148" s="63"/>
      <x:c r="I148" s="61" t="n">
        <x:v>39234.5</x:v>
      </x:c>
      <x:c r="J148" s="64" t="n">
        <x:f>IF(OR(I148="",X148=""),"",IFERROR(DATEDIF(I148,X148,"m")/12,""))</x:f>
        <x:v>19.166666666666668</x:v>
      </x:c>
      <x:c r="K148" s="60" t="str">
        <x:v>FLAT C, 17 LANCASTER GATE, LONDON, W2 3LH</x:v>
      </x:c>
      <x:c r="L148" s="60" t="str">
        <x:v> W2 3LH</x:v>
      </x:c>
      <x:c r="M148" s="60"/>
      <x:c r="N148" s="60" t="str">
        <x:v>W2 3LH</x:v>
      </x:c>
      <x:c r="O148" s="61"/>
      <x:c r="P148" s="64" t="str">
        <x:f>IF(OR(O148="",I148=""),"",IFERROR(DATEDIF(O148,I148,"m")/12,""))</x:f>
      </x:c>
      <x:c r="Q148" s="60"/>
      <x:c r="R148" s="61"/>
      <x:c r="S148" s="64" t="str">
        <x:f>IF(OR(R148="",X148=""),"",IFERROR(DATEDIF(R148,X148,"m")/12,""))</x:f>
      </x:c>
      <x:c r="T148" s="60"/>
      <x:c r="U148" s="60"/>
      <x:c r="V148" s="60"/>
      <x:c r="W148" s="63"/>
      <x:c r="X148" s="65" t="n">
        <x:f>TODAY()</x:f>
        <x:v>46250</x:v>
      </x:c>
    </x:row>
    <x:row r="149">
      <x:c r="A149" s="59" t="str">
        <x:v>CLARKE</x:v>
      </x:c>
      <x:c r="B149" s="60" t="str">
        <x:v>MICHAEL</x:v>
      </x:c>
      <x:c r="C149" s="60"/>
      <x:c r="D149" s="61" t="n">
        <x:v>27046.5</x:v>
      </x:c>
      <x:c r="E149" s="62" t="n">
        <x:f>IF(OR(D149="",X149=""),"",IFERROR(DATEDIF(D149,X149,"y"),""))</x:f>
        <x:v>52</x:v>
      </x:c>
      <x:c r="F149" s="60"/>
      <x:c r="G149" s="63"/>
      <x:c r="H149" s="63"/>
      <x:c r="I149" s="61"/>
      <x:c r="J149" s="64" t="str">
        <x:f>IF(OR(I149="",X149=""),"",IFERROR(DATEDIF(I149,X149,"m")/12,""))</x:f>
      </x:c>
      <x:c r="K149" s="60" t="str">
        <x:v>FLAT 3, 65/67 GLOUCESTER TERRACE LONDON, W23DH</x:v>
      </x:c>
      <x:c r="L149" s="60" t="str">
        <x:v> W23DH</x:v>
      </x:c>
      <x:c r="M149" s="60"/>
      <x:c r="N149" s="60" t="str">
        <x:v>W23DH</x:v>
      </x:c>
      <x:c r="O149" s="61"/>
      <x:c r="P149" s="64" t="str">
        <x:f>IF(OR(O149="",I149=""),"",IFERROR(DATEDIF(O149,I149,"m")/12,""))</x:f>
      </x:c>
      <x:c r="Q149" s="60"/>
      <x:c r="R149" s="61"/>
      <x:c r="S149" s="64" t="str">
        <x:f>IF(OR(R149="",X149=""),"",IFERROR(DATEDIF(R149,X149,"m")/12,""))</x:f>
      </x:c>
      <x:c r="T149" s="60"/>
      <x:c r="U149" s="60"/>
      <x:c r="V149" s="60"/>
      <x:c r="W149" s="63"/>
      <x:c r="X149" s="65" t="n">
        <x:f>TODAY()</x:f>
        <x:v>46250</x:v>
      </x:c>
    </x:row>
    <x:row r="150">
      <x:c r="A150" s="59" t="str">
        <x:v>CLARKE</x:v>
      </x:c>
      <x:c r="B150" s="60" t="str">
        <x:v>STEPHEN</x:v>
      </x:c>
      <x:c r="C150" s="60"/>
      <x:c r="D150" s="61" t="n">
        <x:v>32494.5</x:v>
      </x:c>
      <x:c r="E150" s="62" t="n">
        <x:f>IF(OR(D150="",X150=""),"",IFERROR(DATEDIF(D150,X150,"y"),""))</x:f>
        <x:v>37</x:v>
      </x:c>
      <x:c r="F150" s="60"/>
      <x:c r="G150" s="63"/>
      <x:c r="H150" s="63"/>
      <x:c r="I150" s="61"/>
      <x:c r="J150" s="64" t="str">
        <x:f>IF(OR(I150="",X150=""),"",IFERROR(DATEDIF(I150,X150,"m")/12,""))</x:f>
      </x:c>
      <x:c r="K150" s="60"/>
      <x:c r="L150" s="60"/>
      <x:c r="M150" s="60"/>
      <x:c r="N150" s="60"/>
      <x:c r="O150" s="61"/>
      <x:c r="P150" s="64" t="str">
        <x:f>IF(OR(O150="",I150=""),"",IFERROR(DATEDIF(O150,I150,"m")/12,""))</x:f>
      </x:c>
      <x:c r="Q150" s="60"/>
      <x:c r="R150" s="61"/>
      <x:c r="S150" s="64" t="str">
        <x:f>IF(OR(R150="",X150=""),"",IFERROR(DATEDIF(R150,X150,"m")/12,""))</x:f>
      </x:c>
      <x:c r="T150" s="60"/>
      <x:c r="U150" s="60"/>
      <x:c r="V150" s="60"/>
      <x:c r="W150" s="63"/>
      <x:c r="X150" s="65" t="n">
        <x:f>TODAY()</x:f>
        <x:v>46250</x:v>
      </x:c>
    </x:row>
    <x:row r="151">
      <x:c r="A151" s="59" t="str">
        <x:v>CLIMIE</x:v>
      </x:c>
      <x:c r="B151" s="60" t="str">
        <x:v>KENNETH</x:v>
      </x:c>
      <x:c r="C151" s="60"/>
      <x:c r="D151" s="61" t="n">
        <x:v>22043.5</x:v>
      </x:c>
      <x:c r="E151" s="62" t="n">
        <x:f>IF(OR(D151="",X151=""),"",IFERROR(DATEDIF(D151,X151,"y"),""))</x:f>
        <x:v>66</x:v>
      </x:c>
      <x:c r="F151" s="60"/>
      <x:c r="G151" s="63"/>
      <x:c r="H151" s="63"/>
      <x:c r="I151" s="61" t="n">
        <x:v>43678.5</x:v>
      </x:c>
      <x:c r="J151" s="64" t="n">
        <x:f>IF(OR(I151="",X151=""),"",IFERROR(DATEDIF(I151,X151,"m")/12,""))</x:f>
        <x:v>7</x:v>
      </x:c>
      <x:c r="K151" s="60" t="str">
        <x:v>FLAT 2 , 29A CARNABY STREET, LONDON, W1F 7DH</x:v>
      </x:c>
      <x:c r="L151" s="60" t="str">
        <x:v> W1F 7DH</x:v>
      </x:c>
      <x:c r="M151" s="60"/>
      <x:c r="N151" s="60" t="str">
        <x:v>W1F 7DH</x:v>
      </x:c>
      <x:c r="O151" s="61" t="n">
        <x:v>42125.5</x:v>
      </x:c>
      <x:c r="P151" s="64" t="n">
        <x:f>IF(OR(O151="",I151=""),"",IFERROR(DATEDIF(O151,I151,"m")/12,""))</x:f>
        <x:v>4.25</x:v>
      </x:c>
      <x:c r="Q151" s="60" t="str">
        <x:v>FLAT 2, 4, HENRIETTA STREET, LONDON, LONDON, WC2E 8PS</x:v>
      </x:c>
      <x:c r="R151" s="61"/>
      <x:c r="S151" s="64" t="str">
        <x:f>IF(OR(R151="",X151=""),"",IFERROR(DATEDIF(R151,X151,"m")/12,""))</x:f>
      </x:c>
      <x:c r="T151" s="60"/>
      <x:c r="U151" s="60"/>
      <x:c r="V151" s="60"/>
      <x:c r="W151" s="63"/>
      <x:c r="X151" s="65" t="n">
        <x:f>TODAY()</x:f>
        <x:v>46250</x:v>
      </x:c>
    </x:row>
    <x:row r="152">
      <x:c r="A152" s="59" t="str">
        <x:v>COAKLEY</x:v>
      </x:c>
      <x:c r="B152" s="60" t="str">
        <x:v>JANE</x:v>
      </x:c>
      <x:c r="C152" s="60"/>
      <x:c r="D152" s="61" t="n">
        <x:v>25370.5</x:v>
      </x:c>
      <x:c r="E152" s="62" t="n">
        <x:f>IF(OR(D152="",X152=""),"",IFERROR(DATEDIF(D152,X152,"y"),""))</x:f>
        <x:v>57</x:v>
      </x:c>
      <x:c r="F152" s="60"/>
      <x:c r="G152" s="63"/>
      <x:c r="H152" s="63" t="str">
        <x:v>NZ194288B</x:v>
      </x:c>
      <x:c r="I152" s="61"/>
      <x:c r="J152" s="64" t="str">
        <x:f>IF(OR(I152="",X152=""),"",IFERROR(DATEDIF(I152,X152,"m")/12,""))</x:f>
      </x:c>
      <x:c r="K152" s="60" t="str">
        <x:v>4 BARKER STREET, LONDON, SW10 9EN</x:v>
      </x:c>
      <x:c r="L152" s="60" t="str">
        <x:v> SW10 9EN</x:v>
      </x:c>
      <x:c r="M152" s="60"/>
      <x:c r="N152" s="60" t="str">
        <x:v>SW10 9EN</x:v>
      </x:c>
      <x:c r="O152" s="61"/>
      <x:c r="P152" s="64" t="str">
        <x:f>IF(OR(O152="",I152=""),"",IFERROR(DATEDIF(O152,I152,"m")/12,""))</x:f>
      </x:c>
      <x:c r="Q152" s="60"/>
      <x:c r="R152" s="61"/>
      <x:c r="S152" s="64" t="str">
        <x:f>IF(OR(R152="",X152=""),"",IFERROR(DATEDIF(R152,X152,"m")/12,""))</x:f>
      </x:c>
      <x:c r="T152" s="60"/>
      <x:c r="U152" s="60"/>
      <x:c r="V152" s="60"/>
      <x:c r="W152" s="63"/>
      <x:c r="X152" s="65" t="n">
        <x:f>TODAY()</x:f>
        <x:v>46250</x:v>
      </x:c>
    </x:row>
    <x:row r="153">
      <x:c r="A153" s="59" t="str">
        <x:v>COHEN</x:v>
      </x:c>
      <x:c r="B153" s="60" t="str">
        <x:v>TEHILA</x:v>
      </x:c>
      <x:c r="C153" s="60"/>
      <x:c r="D153" s="61" t="n">
        <x:v>32658.5</x:v>
      </x:c>
      <x:c r="E153" s="62" t="n">
        <x:f>IF(OR(D153="",X153=""),"",IFERROR(DATEDIF(D153,X153,"y"),""))</x:f>
        <x:v>37</x:v>
      </x:c>
      <x:c r="F153" s="60"/>
      <x:c r="G153" s="63"/>
      <x:c r="H153" s="63"/>
      <x:c r="I153" s="61"/>
      <x:c r="J153" s="64" t="str">
        <x:f>IF(OR(I153="",X153=""),"",IFERROR(DATEDIF(I153,X153,"m")/12,""))</x:f>
      </x:c>
      <x:c r="K153" s="60" t="str">
        <x:v>FLAT 11, 75 GLOUCESTER TERRACE LONDON, W2 3DH</x:v>
      </x:c>
      <x:c r="L153" s="60" t="str">
        <x:v> W2 3DH</x:v>
      </x:c>
      <x:c r="M153" s="60"/>
      <x:c r="N153" s="60" t="str">
        <x:v>W2 3DH</x:v>
      </x:c>
      <x:c r="O153" s="61"/>
      <x:c r="P153" s="64" t="str">
        <x:f>IF(OR(O153="",I153=""),"",IFERROR(DATEDIF(O153,I153,"m")/12,""))</x:f>
      </x:c>
      <x:c r="Q153" s="60"/>
      <x:c r="R153" s="61"/>
      <x:c r="S153" s="64" t="str">
        <x:f>IF(OR(R153="",X153=""),"",IFERROR(DATEDIF(R153,X153,"m")/12,""))</x:f>
      </x:c>
      <x:c r="T153" s="60"/>
      <x:c r="U153" s="60"/>
      <x:c r="V153" s="60"/>
      <x:c r="W153" s="63"/>
      <x:c r="X153" s="65" t="n">
        <x:f>TODAY()</x:f>
        <x:v>46250</x:v>
      </x:c>
    </x:row>
    <x:row r="154">
      <x:c r="A154" s="59" t="str">
        <x:v>COLEBOURNE</x:v>
      </x:c>
      <x:c r="B154" s="60" t="str">
        <x:v>SUSAN</x:v>
      </x:c>
      <x:c r="C154" s="60" t="str">
        <x:v>CLAIRE</x:v>
      </x:c>
      <x:c r="D154" s="61" t="n">
        <x:v>25858.5</x:v>
      </x:c>
      <x:c r="E154" s="62" t="n">
        <x:f>IF(OR(D154="",X154=""),"",IFERROR(DATEDIF(D154,X154,"y"),""))</x:f>
        <x:v>55</x:v>
      </x:c>
      <x:c r="F154" s="60" t="str">
        <x:v>BROWN</x:v>
      </x:c>
      <x:c r="G154" s="63"/>
      <x:c r="H154" s="63" t="str">
        <x:v>PA254187D</x:v>
      </x:c>
      <x:c r="I154" s="61" t="n">
        <x:v>42705.5</x:v>
      </x:c>
      <x:c r="J154" s="64" t="n">
        <x:f>IF(OR(I154="",X154=""),"",IFERROR(DATEDIF(I154,X154,"m")/12,""))</x:f>
        <x:v>9.666666666666666</x:v>
      </x:c>
      <x:c r="K154" s="60" t="str">
        <x:v>FLAT 4, ST. JOHNS HOUSE, 366 NORTH END ROAD, LONDON, SW6 1LY</x:v>
      </x:c>
      <x:c r="L154" s="60" t="str">
        <x:v> SW6 1LY</x:v>
      </x:c>
      <x:c r="M154" s="60"/>
      <x:c r="N154" s="60" t="str">
        <x:v>SW6 1LY</x:v>
      </x:c>
      <x:c r="O154" s="61" t="n">
        <x:v>41426.5</x:v>
      </x:c>
      <x:c r="P154" s="64" t="n">
        <x:f>IF(OR(O154="",I154=""),"",IFERROR(DATEDIF(O154,I154,"m")/12,""))</x:f>
        <x:v>3.5</x:v>
      </x:c>
      <x:c r="Q154" s="60" t="str">
        <x:v>5 EPIRUS MEWS, LONDON, SW6 7UP</x:v>
      </x:c>
      <x:c r="R154" s="61"/>
      <x:c r="S154" s="64" t="str">
        <x:f>IF(OR(R154="",X154=""),"",IFERROR(DATEDIF(R154,X154,"m")/12,""))</x:f>
      </x:c>
      <x:c r="T154" s="60"/>
      <x:c r="U154" s="60"/>
      <x:c r="V154" s="60"/>
      <x:c r="W154" s="63"/>
      <x:c r="X154" s="65" t="n">
        <x:f>TODAY()</x:f>
        <x:v>46250</x:v>
      </x:c>
    </x:row>
    <x:row r="155">
      <x:c r="A155" s="59" t="str">
        <x:v>COPIC</x:v>
      </x:c>
      <x:c r="B155" s="60" t="str">
        <x:v>TIJANA</x:v>
      </x:c>
      <x:c r="C155" s="60"/>
      <x:c r="D155" s="61" t="n">
        <x:v>33413.5</x:v>
      </x:c>
      <x:c r="E155" s="62" t="n">
        <x:f>IF(OR(D155="",X155=""),"",IFERROR(DATEDIF(D155,X155,"y"),""))</x:f>
        <x:v>35</x:v>
      </x:c>
      <x:c r="F155" s="60"/>
      <x:c r="G155" s="63" t="str">
        <x:v>07704648924</x:v>
      </x:c>
      <x:c r="H155" s="63"/>
      <x:c r="I155" s="61" t="n">
        <x:v>43405.5</x:v>
      </x:c>
      <x:c r="J155" s="64" t="n">
        <x:f>IF(OR(I155="",X155=""),"",IFERROR(DATEDIF(I155,X155,"m")/12,""))</x:f>
        <x:v>7.75</x:v>
      </x:c>
      <x:c r="K155" s="60" t="str">
        <x:v>FLAT 17, 13 NEVERN SQUARE LONDON, SWS 9NW</x:v>
      </x:c>
      <x:c r="L155" s="60" t="str">
        <x:v> SWS 9NW</x:v>
      </x:c>
      <x:c r="M155" s="60"/>
      <x:c r="N155" s="60" t="str">
        <x:v>SWS 9NW</x:v>
      </x:c>
      <x:c r="O155" s="61" t="n">
        <x:v>42736.5</x:v>
      </x:c>
      <x:c r="P155" s="64" t="n">
        <x:f>IF(OR(O155="",I155=""),"",IFERROR(DATEDIF(O155,I155,"m")/12,""))</x:f>
        <x:v>1.8333333333333333</x:v>
      </x:c>
      <x:c r="Q155" s="60" t="str">
        <x:v>FLAT 6, ELM PARK MANSIONS, PARK WALK, LONDON, SW10 0AN</x:v>
      </x:c>
      <x:c r="R155" s="61" t="n">
        <x:v>43678.5</x:v>
      </x:c>
      <x:c r="S155" s="64" t="n">
        <x:f>IF(OR(R155="",X155=""),"",IFERROR(DATEDIF(R155,X155,"m")/12,""))</x:f>
        <x:v>7</x:v>
      </x:c>
      <x:c r="T155" s="60" t="str">
        <x:v>PRINCIPAL</x:v>
      </x:c>
      <x:c r="U155" s="60" t="str">
        <x:v>THE CARLYLE GROUP</x:v>
      </x:c>
      <x:c r="V155" s="60" t="str">
        <x:v>1 ST JAMES'S MARKET, ST. JAMES'S, LONDON SW1Y 4AH</x:v>
      </x:c>
      <x:c r="W155" s="63" t="str">
        <x:v>02078941200</x:v>
      </x:c>
      <x:c r="X155" s="65" t="n">
        <x:f>TODAY()</x:f>
        <x:v>46250</x:v>
      </x:c>
    </x:row>
    <x:row r="156">
      <x:c r="A156" s="59" t="str">
        <x:v>CORBETTA</x:v>
      </x:c>
      <x:c r="B156" s="60" t="str">
        <x:v>VALENTINA</x:v>
      </x:c>
      <x:c r="C156" s="60"/>
      <x:c r="D156" s="61"/>
      <x:c r="E156" s="62" t="str">
        <x:f>IF(OR(D156="",X156=""),"",IFERROR(DATEDIF(D156,X156,"y"),""))</x:f>
      </x:c>
      <x:c r="F156" s="60"/>
      <x:c r="G156" s="63"/>
      <x:c r="H156" s="63"/>
      <x:c r="I156" s="61"/>
      <x:c r="J156" s="64" t="str">
        <x:f>IF(OR(I156="",X156=""),"",IFERROR(DATEDIF(I156,X156,"m")/12,""))</x:f>
      </x:c>
      <x:c r="K156" s="60"/>
      <x:c r="L156" s="60"/>
      <x:c r="M156" s="60"/>
      <x:c r="N156" s="60"/>
      <x:c r="O156" s="61"/>
      <x:c r="P156" s="64" t="str">
        <x:f>IF(OR(O156="",I156=""),"",IFERROR(DATEDIF(O156,I156,"m")/12,""))</x:f>
      </x:c>
      <x:c r="Q156" s="60"/>
      <x:c r="R156" s="61"/>
      <x:c r="S156" s="64" t="str">
        <x:f>IF(OR(R156="",X156=""),"",IFERROR(DATEDIF(R156,X156,"m")/12,""))</x:f>
      </x:c>
      <x:c r="T156" s="60"/>
      <x:c r="U156" s="60"/>
      <x:c r="V156" s="60"/>
      <x:c r="W156" s="63"/>
      <x:c r="X156" s="65" t="n">
        <x:f>TODAY()</x:f>
        <x:v>46250</x:v>
      </x:c>
    </x:row>
    <x:row r="157">
      <x:c r="A157" s="59" t="str">
        <x:v>CORDESS</x:v>
      </x:c>
      <x:c r="B157" s="60" t="str">
        <x:v>CHRISTOPHER</x:v>
      </x:c>
      <x:c r="C157" s="60" t="str">
        <x:v>CHARLES</x:v>
      </x:c>
      <x:c r="D157" s="61" t="n">
        <x:v>16555.5</x:v>
      </x:c>
      <x:c r="E157" s="62" t="n">
        <x:f>IF(OR(D157="",X157=""),"",IFERROR(DATEDIF(D157,X157,"y"),""))</x:f>
        <x:v>81</x:v>
      </x:c>
      <x:c r="F157" s="60" t="str">
        <x:v>SEEL</x:v>
      </x:c>
      <x:c r="G157" s="63"/>
      <x:c r="H157" s="63"/>
      <x:c r="I157" s="61" t="n">
        <x:v>43344.5</x:v>
      </x:c>
      <x:c r="J157" s="64" t="n">
        <x:f>IF(OR(I157="",X157=""),"",IFERROR(DATEDIF(I157,X157,"m")/12,""))</x:f>
        <x:v>7.916666666666667</x:v>
      </x:c>
      <x:c r="K157" s="60" t="str">
        <x:v>2 TAVISTOCK PLACE, LONDON, WC1H 9RA</x:v>
      </x:c>
      <x:c r="L157" s="60" t="str">
        <x:v> WC1H 9RA</x:v>
      </x:c>
      <x:c r="M157" s="60"/>
      <x:c r="N157" s="60" t="str">
        <x:v>WC1H 9RA</x:v>
      </x:c>
      <x:c r="O157" s="61" t="n">
        <x:v>41030.5</x:v>
      </x:c>
      <x:c r="P157" s="64" t="n">
        <x:f>IF(OR(O157="",I157=""),"",IFERROR(DATEDIF(O157,I157,"m")/12,""))</x:f>
        <x:v>6.333333333333333</x:v>
      </x:c>
      <x:c r="Q157" s="60" t="str">
        <x:v>FLAT 9, 11 TAVISTOCK PLACE, LONDON, WC1H 9SH</x:v>
      </x:c>
      <x:c r="R157" s="61"/>
      <x:c r="S157" s="64" t="str">
        <x:f>IF(OR(R157="",X157=""),"",IFERROR(DATEDIF(R157,X157,"m")/12,""))</x:f>
      </x:c>
      <x:c r="T157" s="60"/>
      <x:c r="U157" s="60"/>
      <x:c r="V157" s="60" t="str">
        <x:v>FLAT 136, NORTH BLOCK, 1C, BELVEDERE ROAD, LONDON SE17GF</x:v>
      </x:c>
      <x:c r="W157" s="63"/>
      <x:c r="X157" s="65" t="n">
        <x:f>TODAY()</x:f>
        <x:v>46250</x:v>
      </x:c>
    </x:row>
    <x:row r="158">
      <x:c r="A158" s="59" t="str">
        <x:v>CORUH</x:v>
      </x:c>
      <x:c r="B158" s="60" t="str">
        <x:v>MEHMET</x:v>
      </x:c>
      <x:c r="C158" s="60"/>
      <x:c r="D158" s="61" t="n">
        <x:v>25917.5</x:v>
      </x:c>
      <x:c r="E158" s="62" t="n">
        <x:f>IF(OR(D158="",X158=""),"",IFERROR(DATEDIF(D158,X158,"y"),""))</x:f>
        <x:v>55</x:v>
      </x:c>
      <x:c r="F158" s="60" t="str">
        <x:v>ALMAZ</x:v>
      </x:c>
      <x:c r="G158" s="63" t="str">
        <x:v>07425183983</x:v>
      </x:c>
      <x:c r="H158" s="63"/>
      <x:c r="I158" s="61" t="n">
        <x:v>41760.5</x:v>
      </x:c>
      <x:c r="J158" s="64" t="n">
        <x:f>IF(OR(I158="",X158=""),"",IFERROR(DATEDIF(I158,X158,"m")/12,""))</x:f>
        <x:v>12.25</x:v>
      </x:c>
      <x:c r="K158" s="60" t="str">
        <x:v>FLAT 3 , 268 FULHAM ROAD, LONDON, SW10 9EW</x:v>
      </x:c>
      <x:c r="L158" s="60" t="str">
        <x:v> SW10 9EW</x:v>
      </x:c>
      <x:c r="M158" s="60"/>
      <x:c r="N158" s="60" t="str">
        <x:v>SW10 9EW</x:v>
      </x:c>
      <x:c r="O158" s="61"/>
      <x:c r="P158" s="64" t="str">
        <x:f>IF(OR(O158="",I158=""),"",IFERROR(DATEDIF(O158,I158,"m")/12,""))</x:f>
      </x:c>
      <x:c r="Q158" s="60"/>
      <x:c r="R158" s="61" t="n">
        <x:v>42248.5</x:v>
      </x:c>
      <x:c r="S158" s="64" t="n">
        <x:f>IF(OR(R158="",X158=""),"",IFERROR(DATEDIF(R158,X158,"m")/12,""))</x:f>
        <x:v>10.916666666666666</x:v>
      </x:c>
      <x:c r="T158" s="60" t="str">
        <x:v>COMPANY DIRECTOR</x:v>
      </x:c>
      <x:c r="U158" s="60" t="str">
        <x:v>STEELEX GLOBAL CONSULTANCY UK LTD</x:v>
      </x:c>
      <x:c r="V158" s="60" t="str">
        <x:v>FLAT 3 , 268 FULHAM ROAD, LONDON, UNITED KINGDOM, SW10 9EW</x:v>
      </x:c>
      <x:c r="W158" s="63" t="str">
        <x:v>07946241144</x:v>
      </x:c>
      <x:c r="X158" s="65" t="n">
        <x:f>TODAY()</x:f>
        <x:v>46250</x:v>
      </x:c>
    </x:row>
    <x:row r="159">
      <x:c r="A159" s="59" t="str">
        <x:v>COX</x:v>
      </x:c>
      <x:c r="B159" s="60" t="str">
        <x:v>SIMON</x:v>
      </x:c>
      <x:c r="C159" s="60" t="str">
        <x:v>JOHN</x:v>
      </x:c>
      <x:c r="D159" s="61" t="n">
        <x:v>24830.5</x:v>
      </x:c>
      <x:c r="E159" s="62" t="n">
        <x:f>IF(OR(D159="",X159=""),"",IFERROR(DATEDIF(D159,X159,"y"),""))</x:f>
        <x:v>58</x:v>
      </x:c>
      <x:c r="F159" s="60"/>
      <x:c r="G159" s="63"/>
      <x:c r="H159" s="63" t="str">
        <x:v>YW243730C</x:v>
      </x:c>
      <x:c r="I159" s="61"/>
      <x:c r="J159" s="64" t="str">
        <x:f>IF(OR(I159="",X159=""),"",IFERROR(DATEDIF(I159,X159,"m")/12,""))</x:f>
      </x:c>
      <x:c r="K159" s="60" t="str">
        <x:v>FLAT 1, 16 NEVERN SQUARE, LONDON, SW5 9NW</x:v>
      </x:c>
      <x:c r="L159" s="60" t="str">
        <x:v> SW5 9NW</x:v>
      </x:c>
      <x:c r="M159" s="60"/>
      <x:c r="N159" s="60" t="str">
        <x:v>SW5 9NW</x:v>
      </x:c>
      <x:c r="O159" s="61"/>
      <x:c r="P159" s="64" t="str">
        <x:f>IF(OR(O159="",I159=""),"",IFERROR(DATEDIF(O159,I159,"m")/12,""))</x:f>
      </x:c>
      <x:c r="Q159" s="60"/>
      <x:c r="R159" s="61"/>
      <x:c r="S159" s="64" t="str">
        <x:f>IF(OR(R159="",X159=""),"",IFERROR(DATEDIF(R159,X159,"m")/12,""))</x:f>
      </x:c>
      <x:c r="T159" s="60"/>
      <x:c r="U159" s="60"/>
      <x:c r="V159" s="60"/>
      <x:c r="W159" s="63"/>
      <x:c r="X159" s="65" t="n">
        <x:f>TODAY()</x:f>
        <x:v>46250</x:v>
      </x:c>
    </x:row>
    <x:row r="160">
      <x:c r="A160" s="59" t="str">
        <x:v>CRONIN</x:v>
      </x:c>
      <x:c r="B160" s="60" t="str">
        <x:v>PADRAIG</x:v>
      </x:c>
      <x:c r="C160" s="60" t="str">
        <x:v>JOSEPH</x:v>
      </x:c>
      <x:c r="D160" s="61" t="n">
        <x:v>25304.5</x:v>
      </x:c>
      <x:c r="E160" s="62" t="n">
        <x:f>IF(OR(D160="",X160=""),"",IFERROR(DATEDIF(D160,X160,"y"),""))</x:f>
        <x:v>57</x:v>
      </x:c>
      <x:c r="F160" s="60" t="str">
        <x:v>MCLOUGHLIN</x:v>
      </x:c>
      <x:c r="G160" s="63"/>
      <x:c r="H160" s="63"/>
      <x:c r="I160" s="61" t="n">
        <x:v>41091.5</x:v>
      </x:c>
      <x:c r="J160" s="64" t="n">
        <x:f>IF(OR(I160="",X160=""),"",IFERROR(DATEDIF(I160,X160,"m")/12,""))</x:f>
        <x:v>14.083333333333334</x:v>
      </x:c>
      <x:c r="K160" s="60" t="str">
        <x:v>FLAT 1-11, 58 HOXTON SQUARE, LONDON, N16PA</x:v>
      </x:c>
      <x:c r="L160" s="60" t="str">
        <x:v> N16PA</x:v>
      </x:c>
      <x:c r="M160" s="60"/>
      <x:c r="N160" s="60" t="str">
        <x:v>N16PA</x:v>
      </x:c>
      <x:c r="O160" s="61"/>
      <x:c r="P160" s="64" t="str">
        <x:f>IF(OR(O160="",I160=""),"",IFERROR(DATEDIF(O160,I160,"m")/12,""))</x:f>
      </x:c>
      <x:c r="Q160" s="60"/>
      <x:c r="R160" s="61"/>
      <x:c r="S160" s="64" t="str">
        <x:f>IF(OR(R160="",X160=""),"",IFERROR(DATEDIF(R160,X160,"m")/12,""))</x:f>
      </x:c>
      <x:c r="T160" s="60"/>
      <x:c r="U160" s="60"/>
      <x:c r="V160" s="60"/>
      <x:c r="W160" s="63"/>
      <x:c r="X160" s="65" t="n">
        <x:f>TODAY()</x:f>
        <x:v>46250</x:v>
      </x:c>
    </x:row>
    <x:row r="161">
      <x:c r="A161" s="59" t="str">
        <x:v>CUPPLES</x:v>
      </x:c>
      <x:c r="B161" s="60" t="str">
        <x:v>DAVID</x:v>
      </x:c>
      <x:c r="C161" s="60" t="str">
        <x:v>ANTHONY</x:v>
      </x:c>
      <x:c r="D161" s="61" t="n">
        <x:v>30498.5</x:v>
      </x:c>
      <x:c r="E161" s="62" t="n">
        <x:f>IF(OR(D161="",X161=""),"",IFERROR(DATEDIF(D161,X161,"y"),""))</x:f>
        <x:v>43</x:v>
      </x:c>
      <x:c r="F161" s="60"/>
      <x:c r="G161" s="63"/>
      <x:c r="H161" s="63"/>
      <x:c r="I161" s="61" t="n">
        <x:v>42917.5</x:v>
      </x:c>
      <x:c r="J161" s="64" t="n">
        <x:f>IF(OR(I161="",X161=""),"",IFERROR(DATEDIF(I161,X161,"m")/12,""))</x:f>
        <x:v>9.083333333333334</x:v>
      </x:c>
      <x:c r="K161" s="60" t="str">
        <x:v>FLAT 1, 7 SILVER PLACE, LONDON, W1F 0JT</x:v>
      </x:c>
      <x:c r="L161" s="60" t="str">
        <x:v> W1F 0JT</x:v>
      </x:c>
      <x:c r="M161" s="60"/>
      <x:c r="N161" s="60" t="str">
        <x:v>W1F 0JT</x:v>
      </x:c>
      <x:c r="O161" s="61"/>
      <x:c r="P161" s="64" t="str">
        <x:f>IF(OR(O161="",I161=""),"",IFERROR(DATEDIF(O161,I161,"m")/12,""))</x:f>
      </x:c>
      <x:c r="Q161" s="60"/>
      <x:c r="R161" s="61"/>
      <x:c r="S161" s="64" t="str">
        <x:f>IF(OR(R161="",X161=""),"",IFERROR(DATEDIF(R161,X161,"m")/12,""))</x:f>
      </x:c>
      <x:c r="T161" s="60"/>
      <x:c r="U161" s="60" t="str">
        <x:v>APE AGENCY LTD</x:v>
      </x:c>
      <x:c r="V161" s="60" t="str">
        <x:v>FLAT 1, 7 SILVER PLACE, LONDON, W1F 0JT</x:v>
      </x:c>
      <x:c r="W161" s="63"/>
      <x:c r="X161" s="65" t="n">
        <x:f>TODAY()</x:f>
        <x:v>46250</x:v>
      </x:c>
    </x:row>
    <x:row r="162">
      <x:c r="A162" s="59" t="str">
        <x:v>CURRIE</x:v>
      </x:c>
      <x:c r="B162" s="60" t="str">
        <x:v>DEREK</x:v>
      </x:c>
      <x:c r="C162" s="60" t="str">
        <x:v>JOSEPH</x:v>
      </x:c>
      <x:c r="D162" s="61" t="n">
        <x:v>25052.5</x:v>
      </x:c>
      <x:c r="E162" s="62" t="n">
        <x:f>IF(OR(D162="",X162=""),"",IFERROR(DATEDIF(D162,X162,"y"),""))</x:f>
        <x:v>58</x:v>
      </x:c>
      <x:c r="F162" s="60" t="str">
        <x:v>HOGAN</x:v>
      </x:c>
      <x:c r="G162" s="63"/>
      <x:c r="H162" s="63"/>
      <x:c r="I162" s="61" t="n">
        <x:v>43282.5</x:v>
      </x:c>
      <x:c r="J162" s="64" t="n">
        <x:f>IF(OR(I162="",X162=""),"",IFERROR(DATEDIF(I162,X162,"m")/12,""))</x:f>
        <x:v>8.083333333333334</x:v>
      </x:c>
      <x:c r="K162" s="60" t="str">
        <x:v>FLAT 4, 1 HOXTON SQUARE, LONDON, N1 6NU</x:v>
      </x:c>
      <x:c r="L162" s="60" t="str">
        <x:v> N1 6NU</x:v>
      </x:c>
      <x:c r="M162" s="60"/>
      <x:c r="N162" s="60" t="str">
        <x:v>N1 6NU</x:v>
      </x:c>
      <x:c r="O162" s="61" t="n">
        <x:v>42156.5</x:v>
      </x:c>
      <x:c r="P162" s="64" t="n">
        <x:f>IF(OR(O162="",I162=""),"",IFERROR(DATEDIF(O162,I162,"m")/12,""))</x:f>
        <x:v>3.0833333333333335</x:v>
      </x:c>
      <x:c r="Q162" s="60" t="str">
        <x:v>FLAT 108 CITY PAVILLION, 33 BRITTON STREET, LONDON EC1M 5UG</x:v>
      </x:c>
      <x:c r="R162" s="61" t="n">
        <x:v>41548.5</x:v>
      </x:c>
      <x:c r="S162" s="64" t="n">
        <x:f>IF(OR(R162="",X162=""),"",IFERROR(DATEDIF(R162,X162,"m")/12,""))</x:f>
        <x:v>12.833333333333334</x:v>
      </x:c>
      <x:c r="T162" s="60" t="str">
        <x:v>HEAD OF SOLUTIONS</x:v>
      </x:c>
      <x:c r="U162" s="60" t="str">
        <x:v>ANALOG REPUBLIK</x:v>
      </x:c>
      <x:c r="V162" s="60"/>
      <x:c r="W162" s="63" t="str">
        <x:v>020 7193 9544</x:v>
      </x:c>
      <x:c r="X162" s="65" t="n">
        <x:f>TODAY()</x:f>
        <x:v>46250</x:v>
      </x:c>
    </x:row>
    <x:row r="163">
      <x:c r="A163" s="59" t="str">
        <x:v>D</x:v>
      </x:c>
      <x:c r="B163" s="60"/>
      <x:c r="C163" s="60"/>
      <x:c r="D163" s="61"/>
      <x:c r="E163" s="62" t="str">
        <x:f>IF(OR(D163="",X163=""),"",IFERROR(DATEDIF(D163,X163,"y"),""))</x:f>
      </x:c>
      <x:c r="F163" s="60"/>
      <x:c r="G163" s="63"/>
      <x:c r="H163" s="63"/>
      <x:c r="I163" s="61"/>
      <x:c r="J163" s="64" t="str">
        <x:f>IF(OR(I163="",X163=""),"",IFERROR(DATEDIF(I163,X163,"m")/12,""))</x:f>
      </x:c>
      <x:c r="K163" s="60"/>
      <x:c r="L163" s="60"/>
      <x:c r="M163" s="60"/>
      <x:c r="N163" s="60"/>
      <x:c r="O163" s="61"/>
      <x:c r="P163" s="64" t="str">
        <x:f>IF(OR(O163="",I163=""),"",IFERROR(DATEDIF(O163,I163,"m")/12,""))</x:f>
      </x:c>
      <x:c r="Q163" s="60"/>
      <x:c r="R163" s="61"/>
      <x:c r="S163" s="64" t="str">
        <x:f>IF(OR(R163="",X163=""),"",IFERROR(DATEDIF(R163,X163,"m")/12,""))</x:f>
      </x:c>
      <x:c r="T163" s="60"/>
      <x:c r="U163" s="60"/>
      <x:c r="V163" s="60"/>
      <x:c r="W163" s="63"/>
      <x:c r="X163" s="65" t="n">
        <x:f>TODAY()</x:f>
        <x:v>46250</x:v>
      </x:c>
    </x:row>
    <x:row r="164">
      <x:c r="A164" s="59" t="str">
        <x:v>DAHAN</x:v>
      </x:c>
      <x:c r="B164" s="60" t="str">
        <x:v>ALEXANDRE</x:v>
      </x:c>
      <x:c r="C164" s="60"/>
      <x:c r="D164" s="61" t="n">
        <x:v>31975.5</x:v>
      </x:c>
      <x:c r="E164" s="62" t="n">
        <x:f>IF(OR(D164="",X164=""),"",IFERROR(DATEDIF(D164,X164,"y"),""))</x:f>
        <x:v>39</x:v>
      </x:c>
      <x:c r="F164" s="60"/>
      <x:c r="G164" s="63"/>
      <x:c r="H164" s="63"/>
      <x:c r="I164" s="61"/>
      <x:c r="J164" s="64" t="str">
        <x:f>IF(OR(I164="",X164=""),"",IFERROR(DATEDIF(I164,X164,"m")/12,""))</x:f>
      </x:c>
      <x:c r="K164" s="60" t="str">
        <x:v>75 QUEENS GATE, LONDON, SW7 5JT</x:v>
      </x:c>
      <x:c r="L164" s="60" t="str">
        <x:v> SW7 5JT</x:v>
      </x:c>
      <x:c r="M164" s="60"/>
      <x:c r="N164" s="60" t="str">
        <x:v>SW7 5JT</x:v>
      </x:c>
      <x:c r="O164" s="61"/>
      <x:c r="P164" s="64" t="str">
        <x:f>IF(OR(O164="",I164=""),"",IFERROR(DATEDIF(O164,I164,"m")/12,""))</x:f>
      </x:c>
      <x:c r="Q164" s="60"/>
      <x:c r="R164" s="61"/>
      <x:c r="S164" s="64" t="str">
        <x:f>IF(OR(R164="",X164=""),"",IFERROR(DATEDIF(R164,X164,"m")/12,""))</x:f>
      </x:c>
      <x:c r="T164" s="60"/>
      <x:c r="U164" s="60"/>
      <x:c r="V164" s="60"/>
      <x:c r="W164" s="63"/>
      <x:c r="X164" s="65" t="n">
        <x:f>TODAY()</x:f>
        <x:v>46250</x:v>
      </x:c>
    </x:row>
    <x:row r="165">
      <x:c r="A165" s="59" t="str">
        <x:v>DAHAN</x:v>
      </x:c>
      <x:c r="B165" s="60" t="str">
        <x:v>SARAH</x:v>
      </x:c>
      <x:c r="C165" s="60"/>
      <x:c r="D165" s="61" t="n">
        <x:v>32243.5</x:v>
      </x:c>
      <x:c r="E165" s="62" t="n">
        <x:f>IF(OR(D165="",X165=""),"",IFERROR(DATEDIF(D165,X165,"y"),""))</x:f>
        <x:v>38</x:v>
      </x:c>
      <x:c r="F165" s="60"/>
      <x:c r="G165" s="63"/>
      <x:c r="H165" s="63"/>
      <x:c r="I165" s="61"/>
      <x:c r="J165" s="64" t="str">
        <x:f>IF(OR(I165="",X165=""),"",IFERROR(DATEDIF(I165,X165,"m")/12,""))</x:f>
      </x:c>
      <x:c r="K165" s="60" t="str">
        <x:v>75 QUEENS GATE, LONDON, SW7 5JT</x:v>
      </x:c>
      <x:c r="L165" s="60" t="str">
        <x:v> SW7 5JT</x:v>
      </x:c>
      <x:c r="M165" s="60"/>
      <x:c r="N165" s="60" t="str">
        <x:v>SW7 5JT</x:v>
      </x:c>
      <x:c r="O165" s="61"/>
      <x:c r="P165" s="64" t="str">
        <x:f>IF(OR(O165="",I165=""),"",IFERROR(DATEDIF(O165,I165,"m")/12,""))</x:f>
      </x:c>
      <x:c r="Q165" s="60"/>
      <x:c r="R165" s="61"/>
      <x:c r="S165" s="64" t="str">
        <x:f>IF(OR(R165="",X165=""),"",IFERROR(DATEDIF(R165,X165,"m")/12,""))</x:f>
      </x:c>
      <x:c r="T165" s="60"/>
      <x:c r="U165" s="60"/>
      <x:c r="V165" s="60"/>
      <x:c r="W165" s="63"/>
      <x:c r="X165" s="65" t="n">
        <x:f>TODAY()</x:f>
        <x:v>46250</x:v>
      </x:c>
    </x:row>
    <x:row r="166">
      <x:c r="A166" s="59" t="str">
        <x:v>DALLASERRA</x:v>
      </x:c>
      <x:c r="B166" s="60" t="str">
        <x:v>LAURENCE</x:v>
      </x:c>
      <x:c r="C166" s="60"/>
      <x:c r="D166" s="61" t="n">
        <x:v>21559.5</x:v>
      </x:c>
      <x:c r="E166" s="62" t="n">
        <x:f>IF(OR(D166="",X166=""),"",IFERROR(DATEDIF(D166,X166,"y"),""))</x:f>
        <x:v>67</x:v>
      </x:c>
      <x:c r="F166" s="60"/>
      <x:c r="G166" s="63"/>
      <x:c r="H166" s="63"/>
      <x:c r="I166" s="61" t="n">
        <x:v>42461.5</x:v>
      </x:c>
      <x:c r="J166" s="64" t="n">
        <x:f>IF(OR(I166="",X166=""),"",IFERROR(DATEDIF(I166,X166,"m")/12,""))</x:f>
        <x:v>10.333333333333334</x:v>
      </x:c>
      <x:c r="K166" s="60" t="str">
        <x:v>358A NORTH END ROAD LONDON, SW6 1LY</x:v>
      </x:c>
      <x:c r="L166" s="60" t="str">
        <x:v> SW6 1LY</x:v>
      </x:c>
      <x:c r="M166" s="60"/>
      <x:c r="N166" s="60" t="str">
        <x:v>SW6 1LY</x:v>
      </x:c>
      <x:c r="O166" s="61" t="n">
        <x:v>40695.5</x:v>
      </x:c>
      <x:c r="P166" s="64" t="n">
        <x:f>IF(OR(O166="",I166=""),"",IFERROR(DATEDIF(O166,I166,"m")/12,""))</x:f>
        <x:v>4.833333333333333</x:v>
      </x:c>
      <x:c r="Q166" s="60" t="str">
        <x:v>BASEMENT FLAT A, 4, ELM PARK GARDENS,, LONDON, SW10 9NY</x:v>
      </x:c>
      <x:c r="R166" s="61" t="n">
        <x:v>42675.5</x:v>
      </x:c>
      <x:c r="S166" s="64" t="n">
        <x:f>IF(OR(R166="",X166=""),"",IFERROR(DATEDIF(R166,X166,"m")/12,""))</x:f>
        <x:v>9.75</x:v>
      </x:c>
      <x:c r="T166" s="60" t="str">
        <x:v>INTERIOR DESIGNER</x:v>
      </x:c>
      <x:c r="U166" s="60" t="str">
        <x:v>358 NORTH END ROAD LIMITED</x:v>
      </x:c>
      <x:c r="V166" s="60"/>
      <x:c r="W166" s="63"/>
      <x:c r="X166" s="65" t="n">
        <x:f>TODAY()</x:f>
        <x:v>46250</x:v>
      </x:c>
    </x:row>
    <x:row r="167">
      <x:c r="A167" s="59" t="str">
        <x:v>DAMIANI</x:v>
      </x:c>
      <x:c r="B167" s="60" t="str">
        <x:v>STEFANO</x:v>
      </x:c>
      <x:c r="C167" s="60"/>
      <x:c r="D167" s="61" t="n">
        <x:v>31298.5</x:v>
      </x:c>
      <x:c r="E167" s="62" t="n">
        <x:f>IF(OR(D167="",X167=""),"",IFERROR(DATEDIF(D167,X167,"y"),""))</x:f>
        <x:v>40</x:v>
      </x:c>
      <x:c r="F167" s="60" t="str">
        <x:v>STEPHENS</x:v>
      </x:c>
      <x:c r="G167" s="63"/>
      <x:c r="H167" s="63"/>
      <x:c r="I167" s="61"/>
      <x:c r="J167" s="64" t="str">
        <x:f>IF(OR(I167="",X167=""),"",IFERROR(DATEDIF(I167,X167,"m")/12,""))</x:f>
      </x:c>
      <x:c r="K167" s="60" t="str">
        <x:v>FLAT 6, 59 BONDWAY, LONDON, SW8 1SJ</x:v>
      </x:c>
      <x:c r="L167" s="60" t="str">
        <x:v> SW8 1SJ</x:v>
      </x:c>
      <x:c r="M167" s="60"/>
      <x:c r="N167" s="60" t="str">
        <x:v>SW8 1SJ</x:v>
      </x:c>
      <x:c r="O167" s="61"/>
      <x:c r="P167" s="64" t="str">
        <x:f>IF(OR(O167="",I167=""),"",IFERROR(DATEDIF(O167,I167,"m")/12,""))</x:f>
      </x:c>
      <x:c r="Q167" s="60"/>
      <x:c r="R167" s="61"/>
      <x:c r="S167" s="64" t="str">
        <x:f>IF(OR(R167="",X167=""),"",IFERROR(DATEDIF(R167,X167,"m")/12,""))</x:f>
      </x:c>
      <x:c r="T167" s="60"/>
      <x:c r="U167" s="60"/>
      <x:c r="V167" s="60"/>
      <x:c r="W167" s="63"/>
      <x:c r="X167" s="65" t="n">
        <x:f>TODAY()</x:f>
        <x:v>46250</x:v>
      </x:c>
    </x:row>
    <x:row r="168">
      <x:c r="A168" s="59" t="str">
        <x:v>DANESH</x:v>
      </x:c>
      <x:c r="B168" s="60" t="str">
        <x:v>CYRUS</x:v>
      </x:c>
      <x:c r="C168" s="60" t="str">
        <x:v>MARK</x:v>
      </x:c>
      <x:c r="D168" s="61" t="n">
        <x:v>34750.5</x:v>
      </x:c>
      <x:c r="E168" s="62" t="n">
        <x:f>IF(OR(D168="",X168=""),"",IFERROR(DATEDIF(D168,X168,"y"),""))</x:f>
        <x:v>31</x:v>
      </x:c>
      <x:c r="F168" s="60" t="str">
        <x:v>CAMPBELL</x:v>
      </x:c>
      <x:c r="G168" s="63" t="str">
        <x:v>07565897225</x:v>
      </x:c>
      <x:c r="H168" s="63" t="str">
        <x:v>JZ970818C</x:v>
      </x:c>
      <x:c r="I168" s="61" t="n">
        <x:v>44531.5</x:v>
      </x:c>
      <x:c r="J168" s="64" t="n">
        <x:f>IF(OR(I168="",X168=""),"",IFERROR(DATEDIF(I168,X168,"m")/12,""))</x:f>
        <x:v>4.666666666666667</x:v>
      </x:c>
      <x:c r="K168" s="60" t="str">
        <x:v>FLAT 2 GROUND FLOOR, 30-31 PHILBEACH GARDENS, LONDON, SW5 9EB</x:v>
      </x:c>
      <x:c r="L168" s="60" t="str">
        <x:v> SW5 9EB</x:v>
      </x:c>
      <x:c r="M168" s="60"/>
      <x:c r="N168" s="60" t="str">
        <x:v>SW5 9EB</x:v>
      </x:c>
      <x:c r="O168" s="61" t="n">
        <x:v>42856.5</x:v>
      </x:c>
      <x:c r="P168" s="64" t="n">
        <x:f>IF(OR(O168="",I168=""),"",IFERROR(DATEDIF(O168,I168,"m")/12,""))</x:f>
        <x:v>4.583333333333333</x:v>
      </x:c>
      <x:c r="Q168" s="60" t="str">
        <x:v>11 MARGRAVINE GARDENS, LONDON, W6 8RL</x:v>
      </x:c>
      <x:c r="R168" s="61" t="n">
        <x:v>45170.5</x:v>
      </x:c>
      <x:c r="S168" s="64" t="n">
        <x:f>IF(OR(R168="",X168=""),"",IFERROR(DATEDIF(R168,X168,"m")/12,""))</x:f>
        <x:v>2.9166666666666665</x:v>
      </x:c>
      <x:c r="T168" s="60" t="str">
        <x:v>HEAD OF COPMMERCIAL</x:v>
      </x:c>
      <x:c r="U168" s="60" t="str">
        <x:v>KOMI APP LIMITED</x:v>
      </x:c>
      <x:c r="V168" s="60" t="str">
        <x:v>21 BEDFORD SQUARE, LONDON, WC1B 3HH</x:v>
      </x:c>
      <x:c r="W168" s="63"/>
      <x:c r="X168" s="65" t="n">
        <x:f>TODAY()</x:f>
        <x:v>46250</x:v>
      </x:c>
    </x:row>
    <x:row r="169">
      <x:c r="A169" s="59" t="str">
        <x:v>DANIELLI</x:v>
      </x:c>
      <x:c r="B169" s="60" t="str">
        <x:v>JOSHUA</x:v>
      </x:c>
      <x:c r="C169" s="60" t="str">
        <x:v>DAVID</x:v>
      </x:c>
      <x:c r="D169" s="61" t="n">
        <x:v>35051.5</x:v>
      </x:c>
      <x:c r="E169" s="62" t="n">
        <x:f>IF(OR(D169="",X169=""),"",IFERROR(DATEDIF(D169,X169,"y"),""))</x:f>
        <x:v>30</x:v>
      </x:c>
      <x:c r="F169" s="60" t="str">
        <x:v>BENNETT</x:v>
      </x:c>
      <x:c r="G169" s="63" t="str">
        <x:v>07541773141‬</x:v>
      </x:c>
      <x:c r="H169" s="63"/>
      <x:c r="I169" s="61" t="n">
        <x:v>44105.5</x:v>
      </x:c>
      <x:c r="J169" s="64" t="n">
        <x:f>IF(OR(I169="",X169=""),"",IFERROR(DATEDIF(I169,X169,"m")/12,""))</x:f>
        <x:v>5.833333333333333</x:v>
      </x:c>
      <x:c r="K169" s="60" t="str">
        <x:v>FLAT 11, 292-294 FULHAM ROAD, LONDON, SW10 9EW</x:v>
      </x:c>
      <x:c r="L169" s="60" t="str">
        <x:v> SW10 9EW</x:v>
      </x:c>
      <x:c r="M169" s="60"/>
      <x:c r="N169" s="60" t="str">
        <x:v>SW10 9EW</x:v>
      </x:c>
      <x:c r="O169" s="61" t="n">
        <x:v>43252.5</x:v>
      </x:c>
      <x:c r="P169" s="64" t="n">
        <x:f>IF(OR(O169="",I169=""),"",IFERROR(DATEDIF(O169,I169,"m")/12,""))</x:f>
        <x:v>2.3333333333333335</x:v>
      </x:c>
      <x:c r="Q169" s="60" t="str">
        <x:v>20 CHARMWOOD CLOSE, NEWBURY, RG14 1XA</x:v>
      </x:c>
      <x:c r="R169" s="61" t="n">
        <x:v>43891.5</x:v>
      </x:c>
      <x:c r="S169" s="64" t="n">
        <x:f>IF(OR(R169="",X169=""),"",IFERROR(DATEDIF(R169,X169,"m")/12,""))</x:f>
        <x:v>6.416666666666667</x:v>
      </x:c>
      <x:c r="T169" s="60" t="str">
        <x:v>ACCOUNT DIRECTOR</x:v>
      </x:c>
      <x:c r="U169" s="60" t="str">
        <x:v>DYNATA GLOBAL UK LIMITED</x:v>
      </x:c>
      <x:c r="V169" s="60" t="str">
        <x:v>DEVON HOUSE, 58 ST. KATHARINES WAY, E1W 1LP</x:v>
      </x:c>
      <x:c r="W169" s="63" t="str">
        <x:v>02070843000</x:v>
      </x:c>
      <x:c r="X169" s="65" t="n">
        <x:f>TODAY()</x:f>
        <x:v>46250</x:v>
      </x:c>
    </x:row>
    <x:row r="170">
      <x:c r="A170" s="59" t="str">
        <x:v>DANILUDIS</x:v>
      </x:c>
      <x:c r="B170" s="60" t="str">
        <x:v>ARISTOTELIS</x:v>
      </x:c>
      <x:c r="C170" s="60"/>
      <x:c r="D170" s="61" t="n">
        <x:v>34587.5</x:v>
      </x:c>
      <x:c r="E170" s="62" t="n">
        <x:f>IF(OR(D170="",X170=""),"",IFERROR(DATEDIF(D170,X170,"y"),""))</x:f>
        <x:v>31</x:v>
      </x:c>
      <x:c r="F170" s="60"/>
      <x:c r="G170" s="63"/>
      <x:c r="H170" s="63"/>
      <x:c r="I170" s="61"/>
      <x:c r="J170" s="64" t="str">
        <x:f>IF(OR(I170="",X170=""),"",IFERROR(DATEDIF(I170,X170,"m")/12,""))</x:f>
      </x:c>
      <x:c r="K170" s="60" t="str">
        <x:v>13 NEVERN SQUARE, FLAT 18, LONDON, SW5 9NW</x:v>
      </x:c>
      <x:c r="L170" s="60" t="str">
        <x:v> SW5 9NW</x:v>
      </x:c>
      <x:c r="M170" s="60"/>
      <x:c r="N170" s="60" t="str">
        <x:v>SW5 9NW</x:v>
      </x:c>
      <x:c r="O170" s="61"/>
      <x:c r="P170" s="64" t="str">
        <x:f>IF(OR(O170="",I170=""),"",IFERROR(DATEDIF(O170,I170,"m")/12,""))</x:f>
      </x:c>
      <x:c r="Q170" s="60"/>
      <x:c r="R170" s="61"/>
      <x:c r="S170" s="64" t="str">
        <x:f>IF(OR(R170="",X170=""),"",IFERROR(DATEDIF(R170,X170,"m")/12,""))</x:f>
      </x:c>
      <x:c r="T170" s="60"/>
      <x:c r="U170" s="60"/>
      <x:c r="V170" s="60"/>
      <x:c r="W170" s="63"/>
      <x:c r="X170" s="65" t="n">
        <x:f>TODAY()</x:f>
        <x:v>46250</x:v>
      </x:c>
    </x:row>
    <x:row r="171">
      <x:c r="A171" s="59" t="str">
        <x:v>DANZANBALJIR</x:v>
      </x:c>
      <x:c r="B171" s="60" t="str">
        <x:v>ENKHJARGAL</x:v>
      </x:c>
      <x:c r="C171" s="60"/>
      <x:c r="D171" s="61" t="n">
        <x:v>23575.5</x:v>
      </x:c>
      <x:c r="E171" s="62" t="n">
        <x:f>IF(OR(D171="",X171=""),"",IFERROR(DATEDIF(D171,X171,"y"),""))</x:f>
        <x:v>62</x:v>
      </x:c>
      <x:c r="F171" s="60"/>
      <x:c r="G171" s="63"/>
      <x:c r="H171" s="63"/>
      <x:c r="I171" s="61"/>
      <x:c r="J171" s="64" t="str">
        <x:f>IF(OR(I171="",X171=""),"",IFERROR(DATEDIF(I171,X171,"m")/12,""))</x:f>
      </x:c>
      <x:c r="K171" s="60" t="str">
        <x:v>FLAT D, 17 LANCASTER GATE, LONDON, W2 3LH</x:v>
      </x:c>
      <x:c r="L171" s="60" t="str">
        <x:v> W2 3LH</x:v>
      </x:c>
      <x:c r="M171" s="60"/>
      <x:c r="N171" s="60" t="str">
        <x:v>W2 3LH</x:v>
      </x:c>
      <x:c r="O171" s="61"/>
      <x:c r="P171" s="64" t="str">
        <x:f>IF(OR(O171="",I171=""),"",IFERROR(DATEDIF(O171,I171,"m")/12,""))</x:f>
      </x:c>
      <x:c r="Q171" s="60"/>
      <x:c r="R171" s="61"/>
      <x:c r="S171" s="64" t="str">
        <x:f>IF(OR(R171="",X171=""),"",IFERROR(DATEDIF(R171,X171,"m")/12,""))</x:f>
      </x:c>
      <x:c r="T171" s="60"/>
      <x:c r="U171" s="60"/>
      <x:c r="V171" s="60"/>
      <x:c r="W171" s="63"/>
      <x:c r="X171" s="65" t="n">
        <x:f>TODAY()</x:f>
        <x:v>46250</x:v>
      </x:c>
    </x:row>
    <x:row r="172">
      <x:c r="A172" s="59" t="str">
        <x:v>DAVIS</x:v>
      </x:c>
      <x:c r="B172" s="60" t="str">
        <x:v>GREGORY</x:v>
      </x:c>
      <x:c r="C172" s="60" t="str">
        <x:v>JAMES ROBERT</x:v>
      </x:c>
      <x:c r="D172" s="61" t="n">
        <x:v>33548.5</x:v>
      </x:c>
      <x:c r="E172" s="62" t="n">
        <x:f>IF(OR(D172="",X172=""),"",IFERROR(DATEDIF(D172,X172,"y"),""))</x:f>
        <x:v>34</x:v>
      </x:c>
      <x:c r="F172" s="60" t="str">
        <x:v>HOPE</x:v>
      </x:c>
      <x:c r="G172" s="63" t="str">
        <x:v>07553214135</x:v>
      </x:c>
      <x:c r="H172" s="63"/>
      <x:c r="I172" s="61" t="n">
        <x:v>42644.5</x:v>
      </x:c>
      <x:c r="J172" s="64" t="n">
        <x:f>IF(OR(I172="",X172=""),"",IFERROR(DATEDIF(I172,X172,"m")/12,""))</x:f>
        <x:v>9.833333333333334</x:v>
      </x:c>
      <x:c r="K172" s="60" t="str">
        <x:v>FLAT 6, 6 WINDMILL DRIVE, LONDON, SW49DE</x:v>
      </x:c>
      <x:c r="L172" s="60" t="str">
        <x:v> SW49DE</x:v>
      </x:c>
      <x:c r="M172" s="60"/>
      <x:c r="N172" s="60" t="str">
        <x:v>SW49DE</x:v>
      </x:c>
      <x:c r="O172" s="61" t="n">
        <x:v>40391.5</x:v>
      </x:c>
      <x:c r="P172" s="64" t="n">
        <x:f>IF(OR(O172="",I172=""),"",IFERROR(DATEDIF(O172,I172,"m")/12,""))</x:f>
        <x:v>6.166666666666667</x:v>
      </x:c>
      <x:c r="Q172" s="60" t="str">
        <x:v>CHERRY TREE HOUSE TYRRELLS WOOD LEATHERHEAD SURREY KT22 8QJ</x:v>
      </x:c>
      <x:c r="R172" s="61" t="n">
        <x:v>43405.5</x:v>
      </x:c>
      <x:c r="S172" s="64" t="n">
        <x:f>IF(OR(R172="",X172=""),"",IFERROR(DATEDIF(R172,X172,"m")/12,""))</x:f>
        <x:v>7.75</x:v>
      </x:c>
      <x:c r="T172" s="60" t="str">
        <x:v>MANAGING DIRECTOR</x:v>
      </x:c>
      <x:c r="U172" s="60" t="str">
        <x:v>KANDID LONDON LIMITED</x:v>
      </x:c>
      <x:c r="V172" s="60" t="str">
        <x:v>27 OLD GLOUCESTER STREET, LONDON, UNITED KINGDOM, WC1N 3AX</x:v>
      </x:c>
      <x:c r="W172" s="63" t="str">
        <x:v>8081960980</x:v>
      </x:c>
      <x:c r="X172" s="65" t="n">
        <x:f>TODAY()</x:f>
        <x:v>46250</x:v>
      </x:c>
    </x:row>
    <x:row r="173">
      <x:c r="A173" s="59" t="str">
        <x:v>DAVY</x:v>
      </x:c>
      <x:c r="B173" s="60" t="str">
        <x:v>CHELSY</x:v>
      </x:c>
      <x:c r="C173" s="60" t="str">
        <x:v>YVONNE</x:v>
      </x:c>
      <x:c r="D173" s="61" t="n">
        <x:v>31333.5</x:v>
      </x:c>
      <x:c r="E173" s="62" t="n">
        <x:f>IF(OR(D173="",X173=""),"",IFERROR(DATEDIF(D173,X173,"y"),""))</x:f>
        <x:v>40</x:v>
      </x:c>
      <x:c r="F173" s="60"/>
      <x:c r="G173" s="63"/>
      <x:c r="H173" s="63"/>
      <x:c r="I173" s="61"/>
      <x:c r="J173" s="64" t="str">
        <x:f>IF(OR(I173="",X173=""),"",IFERROR(DATEDIF(I173,X173,"m")/12,""))</x:f>
      </x:c>
      <x:c r="K173" s="60" t="str">
        <x:v>FLAT 12, 47 PRINCES GARDENS, LONDON, SW7 2PE</x:v>
      </x:c>
      <x:c r="L173" s="60" t="str">
        <x:v> SW7 2PE</x:v>
      </x:c>
      <x:c r="M173" s="60"/>
      <x:c r="N173" s="60" t="str">
        <x:v>SW7 2PE</x:v>
      </x:c>
      <x:c r="O173" s="61"/>
      <x:c r="P173" s="64" t="str">
        <x:f>IF(OR(O173="",I173=""),"",IFERROR(DATEDIF(O173,I173,"m")/12,""))</x:f>
      </x:c>
      <x:c r="Q173" s="60"/>
      <x:c r="R173" s="61"/>
      <x:c r="S173" s="64" t="str">
        <x:f>IF(OR(R173="",X173=""),"",IFERROR(DATEDIF(R173,X173,"m")/12,""))</x:f>
      </x:c>
      <x:c r="T173" s="60"/>
      <x:c r="U173" s="60"/>
      <x:c r="V173" s="60"/>
      <x:c r="W173" s="63"/>
      <x:c r="X173" s="65" t="n">
        <x:f>TODAY()</x:f>
        <x:v>46250</x:v>
      </x:c>
    </x:row>
    <x:row r="174">
      <x:c r="A174" s="59" t="str">
        <x:v>DAWES</x:v>
      </x:c>
      <x:c r="B174" s="60" t="str">
        <x:v>STEPHANIE</x:v>
      </x:c>
      <x:c r="C174" s="60" t="str">
        <x:v>JANE</x:v>
      </x:c>
      <x:c r="D174" s="61"/>
      <x:c r="E174" s="62" t="str">
        <x:f>IF(OR(D174="",X174=""),"",IFERROR(DATEDIF(D174,X174,"y"),""))</x:f>
      </x:c>
      <x:c r="F174" s="60" t="str">
        <x:v>CULVERHOUSE</x:v>
      </x:c>
      <x:c r="G174" s="63"/>
      <x:c r="H174" s="63"/>
      <x:c r="I174" s="61"/>
      <x:c r="J174" s="64" t="str">
        <x:f>IF(OR(I174="",X174=""),"",IFERROR(DATEDIF(I174,X174,"m")/12,""))</x:f>
      </x:c>
      <x:c r="K174" s="60" t="str">
        <x:v>FLAT 11, 13 NEVERN SQUARE, LONDON, SW5 9NW</x:v>
      </x:c>
      <x:c r="L174" s="60" t="str">
        <x:v> SW5 9NW</x:v>
      </x:c>
      <x:c r="M174" s="60"/>
      <x:c r="N174" s="60" t="str">
        <x:v>SW5 9NW</x:v>
      </x:c>
      <x:c r="O174" s="61"/>
      <x:c r="P174" s="64" t="str">
        <x:f>IF(OR(O174="",I174=""),"",IFERROR(DATEDIF(O174,I174,"m")/12,""))</x:f>
      </x:c>
      <x:c r="Q174" s="60"/>
      <x:c r="R174" s="61"/>
      <x:c r="S174" s="64" t="str">
        <x:f>IF(OR(R174="",X174=""),"",IFERROR(DATEDIF(R174,X174,"m")/12,""))</x:f>
      </x:c>
      <x:c r="T174" s="60"/>
      <x:c r="U174" s="60"/>
      <x:c r="V174" s="60"/>
      <x:c r="W174" s="63"/>
      <x:c r="X174" s="65" t="n">
        <x:f>TODAY()</x:f>
        <x:v>46250</x:v>
      </x:c>
    </x:row>
    <x:row r="175">
      <x:c r="A175" s="59" t="str">
        <x:v>DAWOUD</x:v>
      </x:c>
      <x:c r="B175" s="60" t="str">
        <x:v>MOSTAFA</x:v>
      </x:c>
      <x:c r="C175" s="60" t="str">
        <x:v>EL-SAID</x:v>
      </x:c>
      <x:c r="D175" s="61" t="n">
        <x:v>31868.5</x:v>
      </x:c>
      <x:c r="E175" s="62" t="n">
        <x:f>IF(OR(D175="",X175=""),"",IFERROR(DATEDIF(D175,X175,"y"),""))</x:f>
        <x:v>39</x:v>
      </x:c>
      <x:c r="F175" s="60" t="str">
        <x:v>HAMAD</x:v>
      </x:c>
      <x:c r="G175" s="63"/>
      <x:c r="H175" s="63"/>
      <x:c r="I175" s="61" t="n">
        <x:v>43374.5</x:v>
      </x:c>
      <x:c r="J175" s="64" t="n">
        <x:f>IF(OR(I175="",X175=""),"",IFERROR(DATEDIF(I175,X175,"m")/12,""))</x:f>
        <x:v>7.833333333333333</x:v>
      </x:c>
      <x:c r="K175" s="60" t="str">
        <x:v>FLAT 2, 510 FULHAM ROAD, LONDON, SW6 5NJ</x:v>
      </x:c>
      <x:c r="L175" s="60" t="str">
        <x:v> SW6 5NJ</x:v>
      </x:c>
      <x:c r="M175" s="60"/>
      <x:c r="N175" s="60" t="str">
        <x:v>SW6 5NJ</x:v>
      </x:c>
      <x:c r="O175" s="61" t="n">
        <x:v>42095.5</x:v>
      </x:c>
      <x:c r="P175" s="64" t="n">
        <x:f>IF(OR(O175="",I175=""),"",IFERROR(DATEDIF(O175,I175,"m")/12,""))</x:f>
        <x:v>3.5</x:v>
      </x:c>
      <x:c r="Q175" s="60" t="str">
        <x:v>20 STADIUM STREET, LONDON, SW10 0PT</x:v>
      </x:c>
      <x:c r="R175" s="61" t="n">
        <x:v>43191.5</x:v>
      </x:c>
      <x:c r="S175" s="64" t="n">
        <x:f>IF(OR(R175="",X175=""),"",IFERROR(DATEDIF(R175,X175,"m")/12,""))</x:f>
        <x:v>8.333333333333334</x:v>
      </x:c>
      <x:c r="T175" s="60" t="str">
        <x:v>PROJECTS LEADER</x:v>
      </x:c>
      <x:c r="U175" s="60" t="str">
        <x:v>OAKLAND INNOVATION LIMITED</x:v>
      </x:c>
      <x:c r="V175" s="60" t="str">
        <x:v>22A, ST JAMES’S SQUARE, LONDON,SW1Y 4JH</x:v>
      </x:c>
      <x:c r="W175" s="63" t="str">
        <x:v>01372631950</x:v>
      </x:c>
      <x:c r="X175" s="65" t="n">
        <x:f>TODAY()</x:f>
        <x:v>46250</x:v>
      </x:c>
    </x:row>
    <x:row r="176">
      <x:c r="A176" s="59" t="str">
        <x:v>DAWSON</x:v>
      </x:c>
      <x:c r="B176" s="60" t="str">
        <x:v>JOANNE</x:v>
      </x:c>
      <x:c r="C176" s="60"/>
      <x:c r="D176" s="61" t="n">
        <x:v>22786.5</x:v>
      </x:c>
      <x:c r="E176" s="62" t="n">
        <x:f>IF(OR(D176="",X176=""),"",IFERROR(DATEDIF(D176,X176,"y"),""))</x:f>
        <x:v>64</x:v>
      </x:c>
      <x:c r="F176" s="60"/>
      <x:c r="G176" s="63"/>
      <x:c r="H176" s="63"/>
      <x:c r="I176" s="61"/>
      <x:c r="J176" s="64" t="str">
        <x:f>IF(OR(I176="",X176=""),"",IFERROR(DATEDIF(I176,X176,"m")/12,""))</x:f>
      </x:c>
      <x:c r="K176" s="60" t="str">
        <x:v>17A LANCASTER GATE, LONDON W2 3LH</x:v>
      </x:c>
      <x:c r="L176" s="60"/>
      <x:c r="M176" s="60"/>
      <x:c r="N176" s="60"/>
      <x:c r="O176" s="61"/>
      <x:c r="P176" s="64" t="str">
        <x:f>IF(OR(O176="",I176=""),"",IFERROR(DATEDIF(O176,I176,"m")/12,""))</x:f>
      </x:c>
      <x:c r="Q176" s="60"/>
      <x:c r="R176" s="61"/>
      <x:c r="S176" s="64" t="str">
        <x:f>IF(OR(R176="",X176=""),"",IFERROR(DATEDIF(R176,X176,"m")/12,""))</x:f>
      </x:c>
      <x:c r="T176" s="60"/>
      <x:c r="U176" s="60"/>
      <x:c r="V176" s="60"/>
      <x:c r="W176" s="63"/>
      <x:c r="X176" s="65" t="n">
        <x:f>TODAY()</x:f>
        <x:v>46250</x:v>
      </x:c>
    </x:row>
    <x:row r="177">
      <x:c r="A177" s="59" t="str">
        <x:v>DAWSON</x:v>
      </x:c>
      <x:c r="B177" s="60" t="str">
        <x:v>DAVID</x:v>
      </x:c>
      <x:c r="C177" s="60" t="str">
        <x:v>DARRYL</x:v>
      </x:c>
      <x:c r="D177" s="61" t="n">
        <x:v>28529.5</x:v>
      </x:c>
      <x:c r="E177" s="62" t="n">
        <x:f>IF(OR(D177="",X177=""),"",IFERROR(DATEDIF(D177,X177,"y"),""))</x:f>
        <x:v>48</x:v>
      </x:c>
      <x:c r="F177" s="60"/>
      <x:c r="G177" s="63"/>
      <x:c r="H177" s="63"/>
      <x:c r="I177" s="61"/>
      <x:c r="J177" s="64" t="str">
        <x:f>IF(OR(I177="",X177=""),"",IFERROR(DATEDIF(I177,X177,"m")/12,""))</x:f>
      </x:c>
      <x:c r="K177" s="60"/>
      <x:c r="L177" s="60"/>
      <x:c r="M177" s="60"/>
      <x:c r="N177" s="60"/>
      <x:c r="O177" s="61"/>
      <x:c r="P177" s="64" t="str">
        <x:f>IF(OR(O177="",I177=""),"",IFERROR(DATEDIF(O177,I177,"m")/12,""))</x:f>
      </x:c>
      <x:c r="Q177" s="60"/>
      <x:c r="R177" s="61"/>
      <x:c r="S177" s="64" t="str">
        <x:f>IF(OR(R177="",X177=""),"",IFERROR(DATEDIF(R177,X177,"m")/12,""))</x:f>
      </x:c>
      <x:c r="T177" s="60"/>
      <x:c r="U177" s="60"/>
      <x:c r="V177" s="60"/>
      <x:c r="W177" s="63"/>
      <x:c r="X177" s="65" t="n">
        <x:f>TODAY()</x:f>
        <x:v>46250</x:v>
      </x:c>
    </x:row>
    <x:row r="178">
      <x:c r="A178" s="59" t="str">
        <x:v>DAY</x:v>
      </x:c>
      <x:c r="B178" s="60" t="str">
        <x:v>LYNN</x:v>
      </x:c>
      <x:c r="C178" s="60" t="str">
        <x:v>CAREY</x:v>
      </x:c>
      <x:c r="D178" s="61" t="n">
        <x:v>16019.5</x:v>
      </x:c>
      <x:c r="E178" s="62" t="n">
        <x:f>IF(OR(D178="",X178=""),"",IFERROR(DATEDIF(D178,X178,"y"),""))</x:f>
        <x:v>82</x:v>
      </x:c>
      <x:c r="F178" s="60" t="str">
        <x:v>DAY</x:v>
      </x:c>
      <x:c r="G178" s="63"/>
      <x:c r="H178" s="63"/>
      <x:c r="I178" s="61"/>
      <x:c r="J178" s="64" t="str">
        <x:f>IF(OR(I178="",X178=""),"",IFERROR(DATEDIF(I178,X178,"m")/12,""))</x:f>
      </x:c>
      <x:c r="K178" s="60" t="str">
        <x:v>FLAT 6, 55 LANCASTER GATE, LONDON, W2 3NA</x:v>
      </x:c>
      <x:c r="L178" s="60" t="str">
        <x:v> W2 3NA</x:v>
      </x:c>
      <x:c r="M178" s="60"/>
      <x:c r="N178" s="60" t="str">
        <x:v>W2 3NA</x:v>
      </x:c>
      <x:c r="O178" s="61"/>
      <x:c r="P178" s="64" t="str">
        <x:f>IF(OR(O178="",I178=""),"",IFERROR(DATEDIF(O178,I178,"m")/12,""))</x:f>
      </x:c>
      <x:c r="Q178" s="60"/>
      <x:c r="R178" s="61"/>
      <x:c r="S178" s="64" t="str">
        <x:f>IF(OR(R178="",X178=""),"",IFERROR(DATEDIF(R178,X178,"m")/12,""))</x:f>
      </x:c>
      <x:c r="T178" s="60"/>
      <x:c r="U178" s="60"/>
      <x:c r="V178" s="60"/>
      <x:c r="W178" s="63"/>
      <x:c r="X178" s="65" t="n">
        <x:f>TODAY()</x:f>
        <x:v>46250</x:v>
      </x:c>
    </x:row>
    <x:row r="179">
      <x:c r="A179" s="59" t="str">
        <x:v>DE CARVALHO CRUZ</x:v>
      </x:c>
      <x:c r="B179" s="60" t="str">
        <x:v>PATRICIA</x:v>
      </x:c>
      <x:c r="C179" s="60" t="str">
        <x:v>ALEXANDRA MIRA</x:v>
      </x:c>
      <x:c r="D179" s="61" t="n">
        <x:v>28783.5</x:v>
      </x:c>
      <x:c r="E179" s="62" t="n">
        <x:f>IF(OR(D179="",X179=""),"",IFERROR(DATEDIF(D179,X179,"y"),""))</x:f>
        <x:v>47</x:v>
      </x:c>
      <x:c r="F179" s="60" t="str">
        <x:v>CRUZ</x:v>
      </x:c>
      <x:c r="G179" s="63"/>
      <x:c r="H179" s="63"/>
      <x:c r="I179" s="61" t="n">
        <x:v>41730.5</x:v>
      </x:c>
      <x:c r="J179" s="64" t="n">
        <x:f>IF(OR(I179="",X179=""),"",IFERROR(DATEDIF(I179,X179,"m")/12,""))</x:f>
        <x:v>12.333333333333334</x:v>
      </x:c>
      <x:c r="K179" s="60" t="str">
        <x:v>FLAT 3, 288 FULHAM ROAD, LONDON, SW10 9EW</x:v>
      </x:c>
      <x:c r="L179" s="60" t="str">
        <x:v> SW10 9EW</x:v>
      </x:c>
      <x:c r="M179" s="60"/>
      <x:c r="N179" s="60" t="str">
        <x:v>SW10 9EW</x:v>
      </x:c>
      <x:c r="O179" s="61"/>
      <x:c r="P179" s="64" t="str">
        <x:f>IF(OR(O179="",I179=""),"",IFERROR(DATEDIF(O179,I179,"m")/12,""))</x:f>
      </x:c>
      <x:c r="Q179" s="60"/>
      <x:c r="R179" s="61"/>
      <x:c r="S179" s="64" t="str">
        <x:f>IF(OR(R179="",X179=""),"",IFERROR(DATEDIF(R179,X179,"m")/12,""))</x:f>
      </x:c>
      <x:c r="T179" s="60"/>
      <x:c r="U179" s="60"/>
      <x:c r="V179" s="60"/>
      <x:c r="W179" s="63"/>
      <x:c r="X179" s="65" t="n">
        <x:f>TODAY()</x:f>
        <x:v>46250</x:v>
      </x:c>
    </x:row>
    <x:row r="180">
      <x:c r="A180" s="59" t="str">
        <x:v>DE GIORGIS</x:v>
      </x:c>
      <x:c r="B180" s="60" t="str">
        <x:v>AARON</x:v>
      </x:c>
      <x:c r="C180" s="60" t="str">
        <x:v>PIERO</x:v>
      </x:c>
      <x:c r="D180" s="61" t="n">
        <x:v>32380.5</x:v>
      </x:c>
      <x:c r="E180" s="62" t="n">
        <x:f>IF(OR(D180="",X180=""),"",IFERROR(DATEDIF(D180,X180,"y"),""))</x:f>
        <x:v>37</x:v>
      </x:c>
      <x:c r="F180" s="60" t="str">
        <x:v>RUSSO</x:v>
      </x:c>
      <x:c r="G180" s="63"/>
      <x:c r="H180" s="63"/>
      <x:c r="I180" s="61"/>
      <x:c r="J180" s="64" t="str">
        <x:f>IF(OR(I180="",X180=""),"",IFERROR(DATEDIF(I180,X180,"m")/12,""))</x:f>
      </x:c>
      <x:c r="K180" s="60" t="str">
        <x:v>FLAT 2, 52 CLAPHAM COMMON SOUTH SIDE, LONDON, SW4 9BX</x:v>
      </x:c>
      <x:c r="L180" s="60" t="str">
        <x:v> SW4 9BX</x:v>
      </x:c>
      <x:c r="M180" s="60"/>
      <x:c r="N180" s="60" t="str">
        <x:v>SW4 9BX</x:v>
      </x:c>
      <x:c r="O180" s="61"/>
      <x:c r="P180" s="64" t="str">
        <x:f>IF(OR(O180="",I180=""),"",IFERROR(DATEDIF(O180,I180,"m")/12,""))</x:f>
      </x:c>
      <x:c r="Q180" s="60"/>
      <x:c r="R180" s="61"/>
      <x:c r="S180" s="64" t="str">
        <x:f>IF(OR(R180="",X180=""),"",IFERROR(DATEDIF(R180,X180,"m")/12,""))</x:f>
      </x:c>
      <x:c r="T180" s="60"/>
      <x:c r="U180" s="60"/>
      <x:c r="V180" s="60"/>
      <x:c r="W180" s="63"/>
      <x:c r="X180" s="65" t="n">
        <x:f>TODAY()</x:f>
        <x:v>46250</x:v>
      </x:c>
    </x:row>
    <x:row r="181">
      <x:c r="A181" s="59" t="str">
        <x:v>DE HAES</x:v>
      </x:c>
      <x:c r="B181" s="60" t="str">
        <x:v>NICHOLAS</x:v>
      </x:c>
      <x:c r="C181" s="60" t="str">
        <x:v>GREGORY</x:v>
      </x:c>
      <x:c r="D181" s="61" t="n">
        <x:v>34245.5</x:v>
      </x:c>
      <x:c r="E181" s="62" t="n">
        <x:f>IF(OR(D181="",X181=""),"",IFERROR(DATEDIF(D181,X181,"y"),""))</x:f>
        <x:v>32</x:v>
      </x:c>
      <x:c r="F181" s="60" t="str">
        <x:v>DE HAES</x:v>
      </x:c>
      <x:c r="G181" s="63"/>
      <x:c r="H181" s="63"/>
      <x:c r="I181" s="61"/>
      <x:c r="J181" s="64" t="str">
        <x:f>IF(OR(I181="",X181=""),"",IFERROR(DATEDIF(I181,X181,"m")/12,""))</x:f>
      </x:c>
      <x:c r="K181" s="60"/>
      <x:c r="L181" s="60"/>
      <x:c r="M181" s="60"/>
      <x:c r="N181" s="60"/>
      <x:c r="O181" s="61"/>
      <x:c r="P181" s="64" t="str">
        <x:f>IF(OR(O181="",I181=""),"",IFERROR(DATEDIF(O181,I181,"m")/12,""))</x:f>
      </x:c>
      <x:c r="Q181" s="60"/>
      <x:c r="R181" s="61"/>
      <x:c r="S181" s="64" t="str">
        <x:f>IF(OR(R181="",X181=""),"",IFERROR(DATEDIF(R181,X181,"m")/12,""))</x:f>
      </x:c>
      <x:c r="T181" s="60"/>
      <x:c r="U181" s="60"/>
      <x:c r="V181" s="60"/>
      <x:c r="W181" s="63"/>
      <x:c r="X181" s="65" t="n">
        <x:f>TODAY()</x:f>
        <x:v>46250</x:v>
      </x:c>
    </x:row>
    <x:row r="182">
      <x:c r="A182" s="59" t="str">
        <x:v>DE LA TORRE DIAZ</x:v>
      </x:c>
      <x:c r="B182" s="60" t="str">
        <x:v>MARTA</x:v>
      </x:c>
      <x:c r="C182" s="60" t="str">
        <x:v>LUCIA</x:v>
      </x:c>
      <x:c r="D182" s="61" t="n">
        <x:v>31847.5</x:v>
      </x:c>
      <x:c r="E182" s="62" t="n">
        <x:f>IF(OR(D182="",X182=""),"",IFERROR(DATEDIF(D182,X182,"y"),""))</x:f>
        <x:v>39</x:v>
      </x:c>
      <x:c r="F182" s="60" t="str">
        <x:v>DIAZ</x:v>
      </x:c>
      <x:c r="G182" s="63"/>
      <x:c r="H182" s="63"/>
      <x:c r="I182" s="61"/>
      <x:c r="J182" s="64" t="str">
        <x:f>IF(OR(I182="",X182=""),"",IFERROR(DATEDIF(I182,X182,"m")/12,""))</x:f>
      </x:c>
      <x:c r="K182" s="60" t="str">
        <x:v>404-406 NORTH END ROAD, LONDON, SW6 1LU</x:v>
      </x:c>
      <x:c r="L182" s="60" t="str">
        <x:v> SW6 1LU</x:v>
      </x:c>
      <x:c r="M182" s="60"/>
      <x:c r="N182" s="60" t="str">
        <x:v>SW6 1LU</x:v>
      </x:c>
      <x:c r="O182" s="61"/>
      <x:c r="P182" s="64" t="str">
        <x:f>IF(OR(O182="",I182=""),"",IFERROR(DATEDIF(O182,I182,"m")/12,""))</x:f>
      </x:c>
      <x:c r="Q182" s="60"/>
      <x:c r="R182" s="61" t="n">
        <x:v>42826.5</x:v>
      </x:c>
      <x:c r="S182" s="64" t="n">
        <x:f>IF(OR(R182="",X182=""),"",IFERROR(DATEDIF(R182,X182,"m")/12,""))</x:f>
        <x:v>9.333333333333334</x:v>
      </x:c>
      <x:c r="T182" s="60" t="str">
        <x:v>OFFICE MANAGER</x:v>
      </x:c>
      <x:c r="U182" s="60" t="str">
        <x:v>THE CHELSEA GARDENER</x:v>
      </x:c>
      <x:c r="V182" s="60" t="str">
        <x:v>125 SYDNEY STREET, LONDON, SW3 6NR</x:v>
      </x:c>
      <x:c r="W182" s="63"/>
      <x:c r="X182" s="65" t="n">
        <x:f>TODAY()</x:f>
        <x:v>46250</x:v>
      </x:c>
    </x:row>
    <x:row r="183">
      <x:c r="A183" s="59" t="str">
        <x:v>DE PALMA</x:v>
      </x:c>
      <x:c r="B183" s="60" t="str">
        <x:v>MARIA</x:v>
      </x:c>
      <x:c r="C183" s="60" t="str">
        <x:v>ROSA</x:v>
      </x:c>
      <x:c r="D183" s="61" t="n">
        <x:v>26104.5</x:v>
      </x:c>
      <x:c r="E183" s="62" t="n">
        <x:f>IF(OR(D183="",X183=""),"",IFERROR(DATEDIF(D183,X183,"y"),""))</x:f>
        <x:v>55</x:v>
      </x:c>
      <x:c r="F183" s="60" t="str">
        <x:v>DE PALMA</x:v>
      </x:c>
      <x:c r="G183" s="63" t="str">
        <x:v>07342840927</x:v>
      </x:c>
      <x:c r="H183" s="63"/>
      <x:c r="I183" s="61" t="n">
        <x:v>43891.5</x:v>
      </x:c>
      <x:c r="J183" s="64" t="n">
        <x:f>IF(OR(I183="",X183=""),"",IFERROR(DATEDIF(I183,X183,"m")/12,""))</x:f>
        <x:v>6.416666666666667</x:v>
      </x:c>
      <x:c r="K183" s="60" t="str">
        <x:v>FLAT 9, 27 REDCLIFFE SQUARE, LONDON, SW10 9JX</x:v>
      </x:c>
      <x:c r="L183" s="60" t="str">
        <x:v> SW10 9JX</x:v>
      </x:c>
      <x:c r="M183" s="60"/>
      <x:c r="N183" s="60" t="str">
        <x:v>SW10 9JX</x:v>
      </x:c>
      <x:c r="O183" s="61" t="n">
        <x:v>42125.5</x:v>
      </x:c>
      <x:c r="P183" s="64" t="n">
        <x:f>IF(OR(O183="",I183=""),"",IFERROR(DATEDIF(O183,I183,"m")/12,""))</x:f>
        <x:v>4.833333333333333</x:v>
      </x:c>
      <x:c r="Q183" s="60"/>
      <x:c r="R183" s="61" t="n">
        <x:v>41183.5</x:v>
      </x:c>
      <x:c r="S183" s="64" t="n">
        <x:f>IF(OR(R183="",X183=""),"",IFERROR(DATEDIF(R183,X183,"m")/12,""))</x:f>
        <x:v>13.833333333333334</x:v>
      </x:c>
      <x:c r="T183" s="60" t="str">
        <x:v>PARTNER</x:v>
      </x:c>
      <x:c r="U183" s="60" t="str">
        <x:v>EU ADVISORY PARTNERS</x:v>
      </x:c>
      <x:c r="V183" s="60" t="str">
        <x:v>2 VICTORY HOUSE, DE PALMALONDON, W1B 4EZ</x:v>
      </x:c>
      <x:c r="W183" s="63" t="str">
        <x:v>07984 322149</x:v>
      </x:c>
      <x:c r="X183" s="65" t="n">
        <x:f>TODAY()</x:f>
        <x:v>46250</x:v>
      </x:c>
    </x:row>
    <x:row r="184">
      <x:c r="A184" s="59" t="str">
        <x:v>DE PREUX</x:v>
      </x:c>
      <x:c r="B184" s="60" t="str">
        <x:v>HENRI</x:v>
      </x:c>
      <x:c r="C184" s="60" t="str">
        <x:v>NICHOLAS</x:v>
      </x:c>
      <x:c r="D184" s="61" t="n">
        <x:v>32752.5</x:v>
      </x:c>
      <x:c r="E184" s="62" t="n">
        <x:f>IF(OR(D184="",X184=""),"",IFERROR(DATEDIF(D184,X184,"y"),""))</x:f>
        <x:v>36</x:v>
      </x:c>
      <x:c r="F184" s="60"/>
      <x:c r="G184" s="63"/>
      <x:c r="H184" s="63"/>
      <x:c r="I184" s="61" t="n">
        <x:v>43709.5</x:v>
      </x:c>
      <x:c r="J184" s="64" t="n">
        <x:f>IF(OR(I184="",X184=""),"",IFERROR(DATEDIF(I184,X184,"m")/12,""))</x:f>
        <x:v>6.916666666666667</x:v>
      </x:c>
      <x:c r="K184" s="60" t="str">
        <x:v>FLAT 36 2, EXCHANGE GARDENS LONDON LONDON SW8 1DF</x:v>
      </x:c>
      <x:c r="L184" s="60"/>
      <x:c r="M184" s="60"/>
      <x:c r="N184" s="60"/>
      <x:c r="O184" s="61" t="n">
        <x:v>42491.5</x:v>
      </x:c>
      <x:c r="P184" s="64" t="n">
        <x:f>IF(OR(O184="",I184=""),"",IFERROR(DATEDIF(O184,I184,"m")/12,""))</x:f>
        <x:v>3.3333333333333335</x:v>
      </x:c>
      <x:c r="Q184" s="60" t="str">
        <x:v>40 REDCLIFFE SQUARE, LONDON, SW10 9HQ</x:v>
      </x:c>
      <x:c r="R184" s="61"/>
      <x:c r="S184" s="64" t="str">
        <x:f>IF(OR(R184="",X184=""),"",IFERROR(DATEDIF(R184,X184,"m")/12,""))</x:f>
      </x:c>
      <x:c r="T184" s="60"/>
      <x:c r="U184" s="60"/>
      <x:c r="V184" s="60"/>
      <x:c r="W184" s="63"/>
      <x:c r="X184" s="65" t="n">
        <x:f>TODAY()</x:f>
        <x:v>46250</x:v>
      </x:c>
    </x:row>
    <x:row r="185">
      <x:c r="A185" s="59" t="str">
        <x:v>DE SANTIS</x:v>
      </x:c>
      <x:c r="B185" s="60" t="str">
        <x:v>MARCO</x:v>
      </x:c>
      <x:c r="C185" s="60"/>
      <x:c r="D185" s="61" t="n">
        <x:v>31094.5</x:v>
      </x:c>
      <x:c r="E185" s="62" t="n">
        <x:f>IF(OR(D185="",X185=""),"",IFERROR(DATEDIF(D185,X185,"y"),""))</x:f>
        <x:v>41</x:v>
      </x:c>
      <x:c r="F185" s="60" t="str">
        <x:v>MORELLI</x:v>
      </x:c>
      <x:c r="G185" s="63" t="str">
        <x:v>07508124008</x:v>
      </x:c>
      <x:c r="H185" s="63" t="str">
        <x:v>SS269192A</x:v>
      </x:c>
      <x:c r="I185" s="61" t="n">
        <x:v>42461.5</x:v>
      </x:c>
      <x:c r="J185" s="64" t="n">
        <x:f>IF(OR(I185="",X185=""),"",IFERROR(DATEDIF(I185,X185,"m")/12,""))</x:f>
        <x:v>10.333333333333334</x:v>
      </x:c>
      <x:c r="K185" s="60" t="str">
        <x:v>FLAT 2, ST JOHNS HOUSE, 366 NORTH END ROAD, LONDON, SW6 1LY</x:v>
      </x:c>
      <x:c r="L185" s="60" t="str">
        <x:v> SW6 1LY</x:v>
      </x:c>
      <x:c r="M185" s="60"/>
      <x:c r="N185" s="60" t="str">
        <x:v>SW6 1LY</x:v>
      </x:c>
      <x:c r="O185" s="61"/>
      <x:c r="P185" s="64" t="str">
        <x:f>IF(OR(O185="",I185=""),"",IFERROR(DATEDIF(O185,I185,"m")/12,""))</x:f>
      </x:c>
      <x:c r="Q185" s="60"/>
      <x:c r="R185" s="61" t="n">
        <x:v>41821.5</x:v>
      </x:c>
      <x:c r="S185" s="64" t="n">
        <x:f>IF(OR(R185="",X185=""),"",IFERROR(DATEDIF(R185,X185,"m")/12,""))</x:f>
        <x:v>12.083333333333334</x:v>
      </x:c>
      <x:c r="T185" s="60" t="str">
        <x:v>EXECUTIVE DIRECTOR INVESTMENT BANKING</x:v>
      </x:c>
      <x:c r="U185" s="60" t="str">
        <x:v>MORGAN STANLEY</x:v>
      </x:c>
      <x:c r="V185" s="60" t="str">
        <x:v>25 CABOT SQUARE, LONDON E14 4QA</x:v>
      </x:c>
      <x:c r="W185" s="63" t="str">
        <x:v>02074258000</x:v>
      </x:c>
      <x:c r="X185" s="65" t="n">
        <x:f>TODAY()</x:f>
        <x:v>46250</x:v>
      </x:c>
    </x:row>
    <x:row r="186">
      <x:c r="A186" s="59" t="str">
        <x:v>DE VIENNE</x:v>
      </x:c>
      <x:c r="B186" s="60" t="str">
        <x:v>ARMAND LOUIS</x:v>
      </x:c>
      <x:c r="C186" s="60" t="str">
        <x:v>ANTOINE RENAUD</x:v>
      </x:c>
      <x:c r="D186" s="61" t="n">
        <x:v>28013.5</x:v>
      </x:c>
      <x:c r="E186" s="62" t="n">
        <x:f>IF(OR(D186="",X186=""),"",IFERROR(DATEDIF(D186,X186,"y"),""))</x:f>
        <x:v>49</x:v>
      </x:c>
      <x:c r="F186" s="60" t="str">
        <x:v>DE RIVET</x:v>
      </x:c>
      <x:c r="G186" s="63"/>
      <x:c r="H186" s="63"/>
      <x:c r="I186" s="61" t="n">
        <x:v>43709.5</x:v>
      </x:c>
      <x:c r="J186" s="64" t="n">
        <x:f>IF(OR(I186="",X186=""),"",IFERROR(DATEDIF(I186,X186,"m")/12,""))</x:f>
        <x:v>6.916666666666667</x:v>
      </x:c>
      <x:c r="K186" s="60" t="str">
        <x:v>FLAT 9, LLCHESTER MANSIONS, ABINGDON ROAD, LONDON, W8 6AE</x:v>
      </x:c>
      <x:c r="L186" s="60" t="str">
        <x:v> W8 6AE</x:v>
      </x:c>
      <x:c r="M186" s="60"/>
      <x:c r="N186" s="60" t="str">
        <x:v>W8 6AE</x:v>
      </x:c>
      <x:c r="O186" s="61" t="n">
        <x:v>38991.5</x:v>
      </x:c>
      <x:c r="P186" s="64" t="n">
        <x:f>IF(OR(O186="",I186=""),"",IFERROR(DATEDIF(O186,I186,"m")/12,""))</x:f>
        <x:v>12.916666666666666</x:v>
      </x:c>
      <x:c r="Q186" s="60" t="str">
        <x:v>FLAT 2, 74, WARWICK SQUARE, LONDON, LONDON, SW1V 2AR</x:v>
      </x:c>
      <x:c r="R186" s="61"/>
      <x:c r="S186" s="64" t="str">
        <x:f>IF(OR(R186="",X186=""),"",IFERROR(DATEDIF(R186,X186,"m")/12,""))</x:f>
      </x:c>
      <x:c r="T186" s="60"/>
      <x:c r="U186" s="60"/>
      <x:c r="V186" s="60"/>
      <x:c r="W186" s="63"/>
      <x:c r="X186" s="65" t="n">
        <x:f>TODAY()</x:f>
        <x:v>46250</x:v>
      </x:c>
    </x:row>
    <x:row r="187">
      <x:c r="A187" s="59" t="str">
        <x:v>DE WET</x:v>
      </x:c>
      <x:c r="B187" s="60" t="str">
        <x:v>DARIUS</x:v>
      </x:c>
      <x:c r="C187" s="60"/>
      <x:c r="D187" s="61" t="n">
        <x:v>35049.5</x:v>
      </x:c>
      <x:c r="E187" s="62" t="n">
        <x:f>IF(OR(D187="",X187=""),"",IFERROR(DATEDIF(D187,X187,"y"),""))</x:f>
        <x:v>30</x:v>
      </x:c>
      <x:c r="F187" s="60"/>
      <x:c r="G187" s="63"/>
      <x:c r="H187" s="63"/>
      <x:c r="I187" s="61" t="n">
        <x:v>44317.5</x:v>
      </x:c>
      <x:c r="J187" s="64" t="n">
        <x:f>IF(OR(I187="",X187=""),"",IFERROR(DATEDIF(I187,X187,"m")/12,""))</x:f>
        <x:v>5.25</x:v>
      </x:c>
      <x:c r="K187" s="60" t="str">
        <x:v>FLAT 5, 288-290 FULHAM ROAD, LONDON, SW10 9EW</x:v>
      </x:c>
      <x:c r="L187" s="60" t="str">
        <x:v> SW10 9EW</x:v>
      </x:c>
      <x:c r="M187" s="60"/>
      <x:c r="N187" s="60" t="str">
        <x:v>SW10 9EW</x:v>
      </x:c>
      <x:c r="O187" s="61" t="n">
        <x:v>43221.5</x:v>
      </x:c>
      <x:c r="P187" s="64" t="n">
        <x:f>IF(OR(O187="",I187=""),"",IFERROR(DATEDIF(O187,I187,"m")/12,""))</x:f>
        <x:v>3</x:v>
      </x:c>
      <x:c r="Q187" s="60" t="str">
        <x:v>FLAT 23, WORLD'S END ESTATE, LONDON, LONDON, SW10 0EB</x:v>
      </x:c>
      <x:c r="R187" s="61" t="n">
        <x:v>44287.5</x:v>
      </x:c>
      <x:c r="S187" s="64" t="n">
        <x:f>IF(OR(R187="",X187=""),"",IFERROR(DATEDIF(R187,X187,"m")/12,""))</x:f>
        <x:v>5.333333333333333</x:v>
      </x:c>
      <x:c r="T187" s="60" t="str">
        <x:v>ANALYST</x:v>
      </x:c>
      <x:c r="U187" s="60" t="str">
        <x:v>JP MORGAN</x:v>
      </x:c>
      <x:c r="V187" s="60" t="str">
        <x:v>60 VICTORIA EMBANKMENT, LONDON EC4Y 0JP</x:v>
      </x:c>
      <x:c r="W187" s="63" t="str">
        <x:v>0800 204 020</x:v>
      </x:c>
      <x:c r="X187" s="65" t="n">
        <x:f>TODAY()</x:f>
        <x:v>46250</x:v>
      </x:c>
    </x:row>
    <x:row r="188">
      <x:c r="A188" s="59" t="str">
        <x:v>DEBNAM</x:v>
      </x:c>
      <x:c r="B188" s="60" t="str">
        <x:v>ROBERT</x:v>
      </x:c>
      <x:c r="C188" s="60"/>
      <x:c r="D188" s="61" t="n">
        <x:v>21236.5</x:v>
      </x:c>
      <x:c r="E188" s="62" t="n">
        <x:f>IF(OR(D188="",X188=""),"",IFERROR(DATEDIF(D188,X188,"y"),""))</x:f>
        <x:v>68</x:v>
      </x:c>
      <x:c r="F188" s="60"/>
      <x:c r="G188" s="63"/>
      <x:c r="H188" s="63"/>
      <x:c r="I188" s="61"/>
      <x:c r="J188" s="64" t="str">
        <x:f>IF(OR(I188="",X188=""),"",IFERROR(DATEDIF(I188,X188,"m")/12,""))</x:f>
      </x:c>
      <x:c r="K188" s="60" t="str">
        <x:v>FLAT C, 74 PHILBEACH GARDENS LONDON</x:v>
      </x:c>
      <x:c r="L188" s="60"/>
      <x:c r="M188" s="60"/>
      <x:c r="N188" s="60"/>
      <x:c r="O188" s="61"/>
      <x:c r="P188" s="64" t="str">
        <x:f>IF(OR(O188="",I188=""),"",IFERROR(DATEDIF(O188,I188,"m")/12,""))</x:f>
      </x:c>
      <x:c r="Q188" s="60" t="str">
        <x:v>18 NORTHLANDS, POTTERS BAR, HERTFORDSHIRE, UNITED KINGDOM, EN6 5DE</x:v>
      </x:c>
      <x:c r="R188" s="61" t="n">
        <x:v>43132.5</x:v>
      </x:c>
      <x:c r="S188" s="64" t="n">
        <x:f>IF(OR(R188="",X188=""),"",IFERROR(DATEDIF(R188,X188,"m")/12,""))</x:f>
        <x:v>8.5</x:v>
      </x:c>
      <x:c r="T188" s="60" t="str">
        <x:v>COMPANY DIRECTOR</x:v>
      </x:c>
      <x:c r="U188" s="60" t="str">
        <x:v>REALM INVESTMENT MANAGEMENT</x:v>
      </x:c>
      <x:c r="V188" s="60" t="str">
        <x:v>THE CLOCK TOWER, 5 FARLEIGH COURT OLD WESTON ROAD, FLAX BOURTON, BRISTOL, BS48 1UR</x:v>
      </x:c>
      <x:c r="W188" s="63" t="str">
        <x:v>020 3966 2749</x:v>
      </x:c>
      <x:c r="X188" s="65" t="n">
        <x:f>TODAY()</x:f>
        <x:v>46250</x:v>
      </x:c>
    </x:row>
    <x:row r="189">
      <x:c r="A189" s="59" t="str">
        <x:v>DEEG</x:v>
      </x:c>
      <x:c r="B189" s="60" t="str">
        <x:v>BENJAMIN</x:v>
      </x:c>
      <x:c r="C189" s="60"/>
      <x:c r="D189" s="61" t="n">
        <x:v>32174.5</x:v>
      </x:c>
      <x:c r="E189" s="62" t="n">
        <x:f>IF(OR(D189="",X189=""),"",IFERROR(DATEDIF(D189,X189,"y"),""))</x:f>
        <x:v>38</x:v>
      </x:c>
      <x:c r="F189" s="60"/>
      <x:c r="G189" s="63"/>
      <x:c r="H189" s="63"/>
      <x:c r="I189" s="61"/>
      <x:c r="J189" s="64" t="str">
        <x:f>IF(OR(I189="",X189=""),"",IFERROR(DATEDIF(I189,X189,"m")/12,""))</x:f>
      </x:c>
      <x:c r="K189" s="60" t="str">
        <x:v>FLAT 6, 171 SUSSEX GARDENS, LONDON, W2 2RH</x:v>
      </x:c>
      <x:c r="L189" s="60" t="str">
        <x:v> W2 2RH</x:v>
      </x:c>
      <x:c r="M189" s="60"/>
      <x:c r="N189" s="60" t="str">
        <x:v>W2 2RH</x:v>
      </x:c>
      <x:c r="O189" s="61"/>
      <x:c r="P189" s="64" t="str">
        <x:f>IF(OR(O189="",I189=""),"",IFERROR(DATEDIF(O189,I189,"m")/12,""))</x:f>
      </x:c>
      <x:c r="Q189" s="60"/>
      <x:c r="R189" s="61"/>
      <x:c r="S189" s="64" t="str">
        <x:f>IF(OR(R189="",X189=""),"",IFERROR(DATEDIF(R189,X189,"m")/12,""))</x:f>
      </x:c>
      <x:c r="T189" s="60"/>
      <x:c r="U189" s="60"/>
      <x:c r="V189" s="60"/>
      <x:c r="W189" s="63"/>
      <x:c r="X189" s="65" t="n">
        <x:f>TODAY()</x:f>
        <x:v>46250</x:v>
      </x:c>
    </x:row>
    <x:row r="190">
      <x:c r="A190" s="59" t="str">
        <x:v>DEHGHAN</x:v>
      </x:c>
      <x:c r="B190" s="60" t="str">
        <x:v>ROXANA</x:v>
      </x:c>
      <x:c r="C190" s="60"/>
      <x:c r="D190" s="61" t="n">
        <x:v>26085.5</x:v>
      </x:c>
      <x:c r="E190" s="62" t="n">
        <x:f>IF(OR(D190="",X190=""),"",IFERROR(DATEDIF(D190,X190,"y"),""))</x:f>
        <x:v>55</x:v>
      </x:c>
      <x:c r="F190" s="60"/>
      <x:c r="G190" s="63"/>
      <x:c r="H190" s="63"/>
      <x:c r="I190" s="61" t="n">
        <x:v>44256.5</x:v>
      </x:c>
      <x:c r="J190" s="64" t="n">
        <x:f>IF(OR(I190="",X190=""),"",IFERROR(DATEDIF(I190,X190,"m")/12,""))</x:f>
        <x:v>5.416666666666667</x:v>
      </x:c>
      <x:c r="K190" s="60" t="str">
        <x:v>FLAT 7, 199 SUSSEX GARDENS, LONDON W2, W2 2RJ</x:v>
      </x:c>
      <x:c r="L190" s="60"/>
      <x:c r="M190" s="60"/>
      <x:c r="N190" s="60"/>
      <x:c r="O190" s="61" t="n">
        <x:v>42125.5</x:v>
      </x:c>
      <x:c r="P190" s="64" t="n">
        <x:f>IF(OR(O190="",I190=""),"",IFERROR(DATEDIF(O190,I190,"m")/12,""))</x:f>
        <x:v>5.833333333333333</x:v>
      </x:c>
      <x:c r="Q190" s="60" t="str">
        <x:v>68, QUEENS GARDENS, LONDON, LONDON, W2 3AH</x:v>
      </x:c>
      <x:c r="R190" s="61"/>
      <x:c r="S190" s="64" t="str">
        <x:f>IF(OR(R190="",X190=""),"",IFERROR(DATEDIF(R190,X190,"m")/12,""))</x:f>
      </x:c>
      <x:c r="T190" s="60" t="str">
        <x:v>DENTIST</x:v>
      </x:c>
      <x:c r="U190" s="60" t="str">
        <x:v>NOTTING HILL DENTAL CLINIC</x:v>
      </x:c>
      <x:c r="V190" s="60" t="str">
        <x:v>45 HEREFORD RD, LONDON W2 5AH</x:v>
      </x:c>
      <x:c r="W190" s="63" t="str">
        <x:v>020 7229 9102</x:v>
      </x:c>
      <x:c r="X190" s="65" t="n">
        <x:f>TODAY()</x:f>
        <x:v>46250</x:v>
      </x:c>
    </x:row>
    <x:row r="191">
      <x:c r="A191" s="59" t="str">
        <x:v>DEHMEL</x:v>
      </x:c>
      <x:c r="B191" s="60" t="str">
        <x:v>ALEXANDER</x:v>
      </x:c>
      <x:c r="C191" s="60" t="str">
        <x:v>FRIEDRICH</x:v>
      </x:c>
      <x:c r="D191" s="61" t="n">
        <x:v>20202.5</x:v>
      </x:c>
      <x:c r="E191" s="62" t="n">
        <x:f>IF(OR(D191="",X191=""),"",IFERROR(DATEDIF(D191,X191,"y"),""))</x:f>
        <x:v>71</x:v>
      </x:c>
      <x:c r="F191" s="60"/>
      <x:c r="G191" s="63"/>
      <x:c r="H191" s="63"/>
      <x:c r="I191" s="61"/>
      <x:c r="J191" s="64" t="str">
        <x:f>IF(OR(I191="",X191=""),"",IFERROR(DATEDIF(I191,X191,"m")/12,""))</x:f>
      </x:c>
      <x:c r="K191" s="60" t="str">
        <x:v>34C HANS ROAD, CHELSEA, LONDON, SW3 1RW</x:v>
      </x:c>
      <x:c r="L191" s="60" t="str">
        <x:v> SW3 1RW</x:v>
      </x:c>
      <x:c r="M191" s="60"/>
      <x:c r="N191" s="60" t="str">
        <x:v>SW3 1RW</x:v>
      </x:c>
      <x:c r="O191" s="61"/>
      <x:c r="P191" s="64" t="str">
        <x:f>IF(OR(O191="",I191=""),"",IFERROR(DATEDIF(O191,I191,"m")/12,""))</x:f>
      </x:c>
      <x:c r="Q191" s="60"/>
      <x:c r="R191" s="61"/>
      <x:c r="S191" s="64" t="str">
        <x:f>IF(OR(R191="",X191=""),"",IFERROR(DATEDIF(R191,X191,"m")/12,""))</x:f>
      </x:c>
      <x:c r="T191" s="60"/>
      <x:c r="U191" s="60"/>
      <x:c r="V191" s="60"/>
      <x:c r="W191" s="63"/>
      <x:c r="X191" s="65" t="n">
        <x:f>TODAY()</x:f>
        <x:v>46250</x:v>
      </x:c>
    </x:row>
    <x:row r="192">
      <x:c r="A192" s="59" t="str">
        <x:v>DEHMEL</x:v>
      </x:c>
      <x:c r="B192" s="60" t="str">
        <x:v>CHRISTINE</x:v>
      </x:c>
      <x:c r="C192" s="60" t="str">
        <x:v>JULIE CAROLINE LOUISE MARIA</x:v>
      </x:c>
      <x:c r="D192" s="61" t="n">
        <x:v>24689.5</x:v>
      </x:c>
      <x:c r="E192" s="62" t="n">
        <x:f>IF(OR(D192="",X192=""),"",IFERROR(DATEDIF(D192,X192,"y"),""))</x:f>
        <x:v>59</x:v>
      </x:c>
      <x:c r="F192" s="60" t="str">
        <x:v>SANDBERG</x:v>
      </x:c>
      <x:c r="G192" s="63"/>
      <x:c r="H192" s="63"/>
      <x:c r="I192" s="61" t="n">
        <x:v>38108.5</x:v>
      </x:c>
      <x:c r="J192" s="64" t="n">
        <x:f>IF(OR(I192="",X192=""),"",IFERROR(DATEDIF(I192,X192,"m")/12,""))</x:f>
        <x:v>22.25</x:v>
      </x:c>
      <x:c r="K192" s="60" t="str">
        <x:v>34C HANS ROAD, CHELSEA, LONDON, SW3 1RW</x:v>
      </x:c>
      <x:c r="L192" s="60" t="str">
        <x:v> SW3 1RW</x:v>
      </x:c>
      <x:c r="M192" s="60"/>
      <x:c r="N192" s="60" t="str">
        <x:v>SW3 1RW</x:v>
      </x:c>
      <x:c r="O192" s="61"/>
      <x:c r="P192" s="64" t="str">
        <x:f>IF(OR(O192="",I192=""),"",IFERROR(DATEDIF(O192,I192,"m")/12,""))</x:f>
      </x:c>
      <x:c r="Q192" s="60"/>
      <x:c r="R192" s="61" t="n">
        <x:v>39173.5</x:v>
      </x:c>
      <x:c r="S192" s="64" t="n">
        <x:f>IF(OR(R192="",X192=""),"",IFERROR(DATEDIF(R192,X192,"m")/12,""))</x:f>
        <x:v>19.333333333333332</x:v>
      </x:c>
      <x:c r="T192" s="60" t="n">
        <x:v>0</x:v>
      </x:c>
      <x:c r="U192" s="60" t="str">
        <x:v>CHRISTINE DEHMEL CONSULTANCY LTD</x:v>
      </x:c>
      <x:c r="V192" s="60"/>
      <x:c r="W192" s="63"/>
      <x:c r="X192" s="65" t="n">
        <x:f>TODAY()</x:f>
        <x:v>46250</x:v>
      </x:c>
    </x:row>
    <x:row r="193">
      <x:c r="A193" s="59" t="str">
        <x:v>DEHNE</x:v>
      </x:c>
      <x:c r="B193" s="60" t="str">
        <x:v>FELIX</x:v>
      </x:c>
      <x:c r="C193" s="60"/>
      <x:c r="D193" s="61" t="n">
        <x:v>34486.5</x:v>
      </x:c>
      <x:c r="E193" s="62" t="n">
        <x:f>IF(OR(D193="",X193=""),"",IFERROR(DATEDIF(D193,X193,"y"),""))</x:f>
        <x:v>32</x:v>
      </x:c>
      <x:c r="F193" s="60"/>
      <x:c r="G193" s="63"/>
      <x:c r="H193" s="63"/>
      <x:c r="I193" s="61" t="n">
        <x:v>43313.5</x:v>
      </x:c>
      <x:c r="J193" s="64" t="n">
        <x:f>IF(OR(I193="",X193=""),"",IFERROR(DATEDIF(I193,X193,"m")/12,""))</x:f>
        <x:v>8</x:v>
      </x:c>
      <x:c r="K193" s="60" t="str">
        <x:v>FLAT 3, 7 FULHAM BROADWAY, LONDON, SW6 1AA</x:v>
      </x:c>
      <x:c r="L193" s="60" t="str">
        <x:v> SW6 1AA</x:v>
      </x:c>
      <x:c r="M193" s="60"/>
      <x:c r="N193" s="60" t="str">
        <x:v>SW6 1AA</x:v>
      </x:c>
      <x:c r="O193" s="61" t="n">
        <x:v>1.5</x:v>
      </x:c>
      <x:c r="P193" s="64" t="n">
        <x:f>IF(OR(O193="",I193=""),"",IFERROR(DATEDIF(O193,I193,"m")/12,""))</x:f>
        <x:v>118.58333333333333</x:v>
      </x:c>
      <x:c r="Q193" s="60"/>
      <x:c r="R193" s="61"/>
      <x:c r="S193" s="64" t="str">
        <x:f>IF(OR(R193="",X193=""),"",IFERROR(DATEDIF(R193,X193,"m")/12,""))</x:f>
      </x:c>
      <x:c r="T193" s="60"/>
      <x:c r="U193" s="60"/>
      <x:c r="V193" s="60"/>
      <x:c r="W193" s="63"/>
      <x:c r="X193" s="65" t="n">
        <x:f>TODAY()</x:f>
        <x:v>46250</x:v>
      </x:c>
    </x:row>
    <x:row r="194">
      <x:c r="A194" s="59" t="str">
        <x:v>D'ELIA</x:v>
      </x:c>
      <x:c r="B194" s="60" t="str">
        <x:v>MATTEO</x:v>
      </x:c>
      <x:c r="C194" s="60"/>
      <x:c r="D194" s="61" t="n">
        <x:v>33781.5</x:v>
      </x:c>
      <x:c r="E194" s="62" t="n">
        <x:f>IF(OR(D194="",X194=""),"",IFERROR(DATEDIF(D194,X194,"y"),""))</x:f>
        <x:v>34</x:v>
      </x:c>
      <x:c r="F194" s="60"/>
      <x:c r="G194" s="63" t="str">
        <x:v>07564980528</x:v>
      </x:c>
      <x:c r="H194" s="63"/>
      <x:c r="I194" s="61" t="n">
        <x:v>43678.5</x:v>
      </x:c>
      <x:c r="J194" s="64" t="n">
        <x:f>IF(OR(I194="",X194=""),"",IFERROR(DATEDIF(I194,X194,"m")/12,""))</x:f>
        <x:v>7</x:v>
      </x:c>
      <x:c r="K194" s="60" t="str">
        <x:v>FLAT A, 2 CLUNY MEWS, LONDON, SW5 9EG</x:v>
      </x:c>
      <x:c r="L194" s="60" t="str">
        <x:v> SW5 9EG</x:v>
      </x:c>
      <x:c r="M194" s="60"/>
      <x:c r="N194" s="60" t="str">
        <x:v>SW5 9EG</x:v>
      </x:c>
      <x:c r="O194" s="61" t="n">
        <x:v>42583.5</x:v>
      </x:c>
      <x:c r="P194" s="64" t="n">
        <x:f>IF(OR(O194="",I194=""),"",IFERROR(DATEDIF(O194,I194,"m")/12,""))</x:f>
        <x:v>3</x:v>
      </x:c>
      <x:c r="Q194" s="60"/>
      <x:c r="R194" s="61"/>
      <x:c r="S194" s="64" t="str">
        <x:f>IF(OR(R194="",X194=""),"",IFERROR(DATEDIF(R194,X194,"m")/12,""))</x:f>
      </x:c>
      <x:c r="T194" s="60"/>
      <x:c r="U194" s="60"/>
      <x:c r="V194" s="60"/>
      <x:c r="W194" s="63"/>
      <x:c r="X194" s="65" t="n">
        <x:f>TODAY()</x:f>
        <x:v>46250</x:v>
      </x:c>
    </x:row>
    <x:row r="195">
      <x:c r="A195" s="59" t="str">
        <x:v>DENNERY</x:v>
      </x:c>
      <x:c r="B195" s="60" t="str">
        <x:v>CHARLES</x:v>
      </x:c>
      <x:c r="C195" s="60" t="str">
        <x:v>COSME HENRI</x:v>
      </x:c>
      <x:c r="D195" s="61" t="n">
        <x:v>32782.5</x:v>
      </x:c>
      <x:c r="E195" s="62" t="n">
        <x:f>IF(OR(D195="",X195=""),"",IFERROR(DATEDIF(D195,X195,"y"),""))</x:f>
        <x:v>36</x:v>
      </x:c>
      <x:c r="F195" s="60" t="str">
        <x:v>DOUGGAL</x:v>
      </x:c>
      <x:c r="G195" s="63"/>
      <x:c r="H195" s="63"/>
      <x:c r="I195" s="61" t="n">
        <x:v>42461.5</x:v>
      </x:c>
      <x:c r="J195" s="64" t="n">
        <x:f>IF(OR(I195="",X195=""),"",IFERROR(DATEDIF(I195,X195,"m")/12,""))</x:f>
        <x:v>10.333333333333334</x:v>
      </x:c>
      <x:c r="K195" s="60" t="str">
        <x:v>FLAT 2, 35 GREAT QUEEN STREET, LONDON, WC2</x:v>
      </x:c>
      <x:c r="L195" s="60" t="str">
        <x:v> WC2</x:v>
      </x:c>
      <x:c r="M195" s="60"/>
      <x:c r="N195" s="60" t="str">
        <x:v>WC2</x:v>
      </x:c>
      <x:c r="O195" s="61" t="n">
        <x:v>41671.5</x:v>
      </x:c>
      <x:c r="P195" s="64" t="n">
        <x:f>IF(OR(O195="",I195=""),"",IFERROR(DATEDIF(O195,I195,"m")/12,""))</x:f>
        <x:v>2.1666666666666665</x:v>
      </x:c>
      <x:c r="Q195" s="60"/>
      <x:c r="R195" s="61"/>
      <x:c r="S195" s="64" t="str">
        <x:f>IF(OR(R195="",X195=""),"",IFERROR(DATEDIF(R195,X195,"m")/12,""))</x:f>
      </x:c>
      <x:c r="T195" s="60"/>
      <x:c r="U195" s="60"/>
      <x:c r="V195" s="60"/>
      <x:c r="W195" s="63"/>
      <x:c r="X195" s="65" t="n">
        <x:f>TODAY()</x:f>
        <x:v>46250</x:v>
      </x:c>
    </x:row>
    <x:row r="196">
      <x:c r="A196" s="59" t="str">
        <x:v>DEVANI</x:v>
      </x:c>
      <x:c r="B196" s="60" t="str">
        <x:v>AMEE</x:v>
      </x:c>
      <x:c r="C196" s="60"/>
      <x:c r="D196" s="61" t="n">
        <x:v>31377.5</x:v>
      </x:c>
      <x:c r="E196" s="62" t="n">
        <x:f>IF(OR(D196="",X196=""),"",IFERROR(DATEDIF(D196,X196,"y"),""))</x:f>
        <x:v>40</x:v>
      </x:c>
      <x:c r="F196" s="60"/>
      <x:c r="G196" s="63"/>
      <x:c r="H196" s="63"/>
      <x:c r="I196" s="61" t="n">
        <x:v>40664.5</x:v>
      </x:c>
      <x:c r="J196" s="64" t="n">
        <x:f>IF(OR(I196="",X196=""),"",IFERROR(DATEDIF(I196,X196,"m")/12,""))</x:f>
        <x:v>15.25</x:v>
      </x:c>
      <x:c r="K196" s="60" t="str">
        <x:v>FLAT 6, 12, EGERTON GARDENS, CHELSEA, LONDON, SW32BW</x:v>
      </x:c>
      <x:c r="L196" s="60" t="str">
        <x:v> SW32BW</x:v>
      </x:c>
      <x:c r="M196" s="60"/>
      <x:c r="N196" s="60" t="str">
        <x:v>SW32BW</x:v>
      </x:c>
      <x:c r="O196" s="61"/>
      <x:c r="P196" s="64" t="str">
        <x:f>IF(OR(O196="",I196=""),"",IFERROR(DATEDIF(O196,I196,"m")/12,""))</x:f>
      </x:c>
      <x:c r="Q196" s="60"/>
      <x:c r="R196" s="61"/>
      <x:c r="S196" s="64" t="str">
        <x:f>IF(OR(R196="",X196=""),"",IFERROR(DATEDIF(R196,X196,"m")/12,""))</x:f>
      </x:c>
      <x:c r="T196" s="60"/>
      <x:c r="U196" s="60"/>
      <x:c r="V196" s="60"/>
      <x:c r="W196" s="63"/>
      <x:c r="X196" s="65" t="n">
        <x:f>TODAY()</x:f>
        <x:v>46250</x:v>
      </x:c>
    </x:row>
    <x:row r="197">
      <x:c r="A197" s="59" t="str">
        <x:v>DEZARD</x:v>
      </x:c>
      <x:c r="B197" s="60" t="str">
        <x:v>BERTRAND</x:v>
      </x:c>
      <x:c r="C197" s="60"/>
      <x:c r="D197" s="61" t="n">
        <x:v>28356.5</x:v>
      </x:c>
      <x:c r="E197" s="62" t="n">
        <x:f>IF(OR(D197="",X197=""),"",IFERROR(DATEDIF(D197,X197,"y"),""))</x:f>
        <x:v>48</x:v>
      </x:c>
      <x:c r="F197" s="60"/>
      <x:c r="G197" s="63"/>
      <x:c r="H197" s="63"/>
      <x:c r="I197" s="61" t="n">
        <x:v>42125.5</x:v>
      </x:c>
      <x:c r="J197" s="64" t="n">
        <x:f>IF(OR(I197="",X197=""),"",IFERROR(DATEDIF(I197,X197,"m")/12,""))</x:f>
        <x:v>11.25</x:v>
      </x:c>
      <x:c r="K197" s="60" t="str">
        <x:v>FLAT 14, 40 REDCLIFFE SQUARE, LONDON, LONDON, SW10 9HQ</x:v>
      </x:c>
      <x:c r="L197" s="60" t="str">
        <x:v> LONDON, SW10 9HQ</x:v>
      </x:c>
      <x:c r="M197" s="60"/>
      <x:c r="N197" s="60" t="str">
        <x:v> SW10 9HQ</x:v>
      </x:c>
      <x:c r="O197" s="61" t="n">
        <x:v>41061.5</x:v>
      </x:c>
      <x:c r="P197" s="64" t="n">
        <x:f>IF(OR(O197="",I197=""),"",IFERROR(DATEDIF(O197,I197,"m")/12,""))</x:f>
        <x:v>2.9166666666666665</x:v>
      </x:c>
      <x:c r="Q197" s="60" t="str">
        <x:v>FLAT 4, LAMPARD HOUSE, 76, ROYAL HOSPITAL ROAD, LONDON, LONDON, SW3 4HW</x:v>
      </x:c>
      <x:c r="R197" s="61" t="n">
        <x:v>42248.5</x:v>
      </x:c>
      <x:c r="S197" s="64" t="n">
        <x:f>IF(OR(R197="",X197=""),"",IFERROR(DATEDIF(R197,X197,"m")/12,""))</x:f>
        <x:v>10.916666666666666</x:v>
      </x:c>
      <x:c r="T197" s="60" t="str">
        <x:v>CHIEF EXECUTIVE OFFICER</x:v>
      </x:c>
      <x:c r="U197" s="60" t="str">
        <x:v>BLUE TRIBE LTD</x:v>
      </x:c>
      <x:c r="V197" s="60"/>
      <x:c r="W197" s="63"/>
      <x:c r="X197" s="65" t="n">
        <x:f>TODAY()</x:f>
        <x:v>46250</x:v>
      </x:c>
    </x:row>
    <x:row r="198">
      <x:c r="A198" s="59" t="str">
        <x:v>DHUPAR</x:v>
      </x:c>
      <x:c r="B198" s="60" t="str">
        <x:v>M</x:v>
      </x:c>
      <x:c r="C198" s="60"/>
      <x:c r="D198" s="61"/>
      <x:c r="E198" s="62" t="str">
        <x:f>IF(OR(D198="",X198=""),"",IFERROR(DATEDIF(D198,X198,"y"),""))</x:f>
      </x:c>
      <x:c r="F198" s="60"/>
      <x:c r="G198" s="63"/>
      <x:c r="H198" s="63"/>
      <x:c r="I198" s="61"/>
      <x:c r="J198" s="64" t="str">
        <x:f>IF(OR(I198="",X198=""),"",IFERROR(DATEDIF(I198,X198,"m")/12,""))</x:f>
      </x:c>
      <x:c r="K198" s="60" t="str">
        <x:v>37-39 DRAYCOTT PLACE, LONDON, SW3 2SH</x:v>
      </x:c>
      <x:c r="L198" s="60" t="str">
        <x:v> SW3 2SH</x:v>
      </x:c>
      <x:c r="M198" s="60"/>
      <x:c r="N198" s="60" t="str">
        <x:v>SW3 2SH</x:v>
      </x:c>
      <x:c r="O198" s="61"/>
      <x:c r="P198" s="64" t="str">
        <x:f>IF(OR(O198="",I198=""),"",IFERROR(DATEDIF(O198,I198,"m")/12,""))</x:f>
      </x:c>
      <x:c r="Q198" s="60"/>
      <x:c r="R198" s="61"/>
      <x:c r="S198" s="64" t="str">
        <x:f>IF(OR(R198="",X198=""),"",IFERROR(DATEDIF(R198,X198,"m")/12,""))</x:f>
      </x:c>
      <x:c r="T198" s="60"/>
      <x:c r="U198" s="60"/>
      <x:c r="V198" s="60"/>
      <x:c r="W198" s="63"/>
      <x:c r="X198" s="65" t="n">
        <x:f>TODAY()</x:f>
        <x:v>46250</x:v>
      </x:c>
    </x:row>
    <x:row r="199">
      <x:c r="A199" s="59" t="str">
        <x:v>DIEZ VILLASENOR</x:v>
      </x:c>
      <x:c r="B199" s="60" t="str">
        <x:v>MARIA</x:v>
      </x:c>
      <x:c r="C199" s="60" t="str">
        <x:v>GLORIA</x:v>
      </x:c>
      <x:c r="D199" s="61" t="n">
        <x:v>29589.5</x:v>
      </x:c>
      <x:c r="E199" s="62" t="n">
        <x:f>IF(OR(D199="",X199=""),"",IFERROR(DATEDIF(D199,X199,"y"),""))</x:f>
        <x:v>45</x:v>
      </x:c>
      <x:c r="F199" s="60"/>
      <x:c r="G199" s="63"/>
      <x:c r="H199" s="63"/>
      <x:c r="I199" s="61"/>
      <x:c r="J199" s="64" t="str">
        <x:f>IF(OR(I199="",X199=""),"",IFERROR(DATEDIF(I199,X199,"m")/12,""))</x:f>
      </x:c>
      <x:c r="K199" s="60" t="str">
        <x:v>FLAT 3, 45 BREWER STREET, LONDON W1F 9UE</x:v>
      </x:c>
      <x:c r="L199" s="60"/>
      <x:c r="M199" s="60"/>
      <x:c r="N199" s="60"/>
      <x:c r="O199" s="61"/>
      <x:c r="P199" s="64" t="str">
        <x:f>IF(OR(O199="",I199=""),"",IFERROR(DATEDIF(O199,I199,"m")/12,""))</x:f>
      </x:c>
      <x:c r="Q199" s="60"/>
      <x:c r="R199" s="61"/>
      <x:c r="S199" s="64" t="str">
        <x:f>IF(OR(R199="",X199=""),"",IFERROR(DATEDIF(R199,X199,"m")/12,""))</x:f>
      </x:c>
      <x:c r="T199" s="60"/>
      <x:c r="U199" s="60"/>
      <x:c r="V199" s="60"/>
      <x:c r="W199" s="63"/>
      <x:c r="X199" s="65" t="n">
        <x:f>TODAY()</x:f>
        <x:v>46250</x:v>
      </x:c>
    </x:row>
    <x:row r="200">
      <x:c r="A200" s="59" t="str">
        <x:v>DIXON</x:v>
      </x:c>
      <x:c r="B200" s="60" t="str">
        <x:v>FAYE</x:v>
      </x:c>
      <x:c r="C200" s="60" t="str">
        <x:v>KIMBERLEY</x:v>
      </x:c>
      <x:c r="D200" s="61" t="n">
        <x:v>32776.5</x:v>
      </x:c>
      <x:c r="E200" s="62" t="n">
        <x:f>IF(OR(D200="",X200=""),"",IFERROR(DATEDIF(D200,X200,"y"),""))</x:f>
        <x:v>36</x:v>
      </x:c>
      <x:c r="F200" s="60"/>
      <x:c r="G200" s="63"/>
      <x:c r="H200" s="63"/>
      <x:c r="I200" s="61"/>
      <x:c r="J200" s="64" t="str">
        <x:f>IF(OR(I200="",X200=""),"",IFERROR(DATEDIF(I200,X200,"m")/12,""))</x:f>
      </x:c>
      <x:c r="K200" s="60" t="str">
        <x:v>FLAT 302, 30-31 PHILBEACH GARDENS LONDON, SW5 9EB</x:v>
      </x:c>
      <x:c r="L200" s="60" t="str">
        <x:v> SW5 9EB</x:v>
      </x:c>
      <x:c r="M200" s="60"/>
      <x:c r="N200" s="60" t="str">
        <x:v>SW5 9EB</x:v>
      </x:c>
      <x:c r="O200" s="61"/>
      <x:c r="P200" s="64" t="str">
        <x:f>IF(OR(O200="",I200=""),"",IFERROR(DATEDIF(O200,I200,"m")/12,""))</x:f>
      </x:c>
      <x:c r="Q200" s="60"/>
      <x:c r="R200" s="61"/>
      <x:c r="S200" s="64" t="str">
        <x:f>IF(OR(R200="",X200=""),"",IFERROR(DATEDIF(R200,X200,"m")/12,""))</x:f>
      </x:c>
      <x:c r="T200" s="60"/>
      <x:c r="U200" s="60"/>
      <x:c r="V200" s="60"/>
      <x:c r="W200" s="63"/>
      <x:c r="X200" s="65" t="n">
        <x:f>TODAY()</x:f>
        <x:v>46250</x:v>
      </x:c>
    </x:row>
    <x:row r="201">
      <x:c r="A201" s="59" t="str">
        <x:v>DOLBERG</x:v>
      </x:c>
      <x:c r="B201" s="60" t="str">
        <x:v>PATRICK</x:v>
      </x:c>
      <x:c r="C201" s="60"/>
      <x:c r="D201" s="61" t="n">
        <x:v>20424.5</x:v>
      </x:c>
      <x:c r="E201" s="62" t="n">
        <x:f>IF(OR(D201="",X201=""),"",IFERROR(DATEDIF(D201,X201,"y"),""))</x:f>
        <x:v>70</x:v>
      </x:c>
      <x:c r="F201" s="60" t="str">
        <x:v>DOLBERG</x:v>
      </x:c>
      <x:c r="G201" s="63"/>
      <x:c r="H201" s="63"/>
      <x:c r="I201" s="61"/>
      <x:c r="J201" s="64" t="str">
        <x:f>IF(OR(I201="",X201=""),"",IFERROR(DATEDIF(I201,X201,"m")/12,""))</x:f>
      </x:c>
      <x:c r="K201" s="60"/>
      <x:c r="L201" s="60"/>
      <x:c r="M201" s="60"/>
      <x:c r="N201" s="60"/>
      <x:c r="O201" s="61"/>
      <x:c r="P201" s="64" t="str">
        <x:f>IF(OR(O201="",I201=""),"",IFERROR(DATEDIF(O201,I201,"m")/12,""))</x:f>
      </x:c>
      <x:c r="Q201" s="60"/>
      <x:c r="R201" s="61"/>
      <x:c r="S201" s="64" t="str">
        <x:f>IF(OR(R201="",X201=""),"",IFERROR(DATEDIF(R201,X201,"m")/12,""))</x:f>
      </x:c>
      <x:c r="T201" s="60"/>
      <x:c r="U201" s="60"/>
      <x:c r="V201" s="60"/>
      <x:c r="W201" s="63"/>
      <x:c r="X201" s="65" t="n">
        <x:f>TODAY()</x:f>
        <x:v>46250</x:v>
      </x:c>
    </x:row>
    <x:row r="202">
      <x:c r="A202" s="59" t="str">
        <x:v>DOMENECH CLAVELL</x:v>
      </x:c>
      <x:c r="B202" s="60" t="str">
        <x:v>PEDRO</x:v>
      </x:c>
      <x:c r="C202" s="60" t="str">
        <x:v>DOMENECH</x:v>
      </x:c>
      <x:c r="D202" s="61" t="n">
        <x:v>24151.5</x:v>
      </x:c>
      <x:c r="E202" s="62" t="n">
        <x:f>IF(OR(D202="",X202=""),"",IFERROR(DATEDIF(D202,X202,"y"),""))</x:f>
        <x:v>60</x:v>
      </x:c>
      <x:c r="F202" s="60"/>
      <x:c r="G202" s="63"/>
      <x:c r="H202" s="63"/>
      <x:c r="I202" s="61"/>
      <x:c r="J202" s="64" t="str">
        <x:f>IF(OR(I202="",X202=""),"",IFERROR(DATEDIF(I202,X202,"m")/12,""))</x:f>
      </x:c>
      <x:c r="K202" s="60"/>
      <x:c r="L202" s="60"/>
      <x:c r="M202" s="60"/>
      <x:c r="N202" s="60"/>
      <x:c r="O202" s="61"/>
      <x:c r="P202" s="64" t="str">
        <x:f>IF(OR(O202="",I202=""),"",IFERROR(DATEDIF(O202,I202,"m")/12,""))</x:f>
      </x:c>
      <x:c r="Q202" s="60"/>
      <x:c r="R202" s="61"/>
      <x:c r="S202" s="64" t="str">
        <x:f>IF(OR(R202="",X202=""),"",IFERROR(DATEDIF(R202,X202,"m")/12,""))</x:f>
      </x:c>
      <x:c r="T202" s="60"/>
      <x:c r="U202" s="60"/>
      <x:c r="V202" s="60"/>
      <x:c r="W202" s="63"/>
      <x:c r="X202" s="65" t="n">
        <x:f>TODAY()</x:f>
        <x:v>46250</x:v>
      </x:c>
    </x:row>
    <x:row r="203">
      <x:c r="A203" s="59" t="str">
        <x:v>DORMINVIL</x:v>
      </x:c>
      <x:c r="B203" s="60" t="str">
        <x:v>MARC</x:v>
      </x:c>
      <x:c r="C203" s="60"/>
      <x:c r="D203" s="61" t="n">
        <x:v>29167.5</x:v>
      </x:c>
      <x:c r="E203" s="62" t="n">
        <x:f>IF(OR(D203="",X203=""),"",IFERROR(DATEDIF(D203,X203,"y"),""))</x:f>
        <x:v>46</x:v>
      </x:c>
      <x:c r="F203" s="60"/>
      <x:c r="G203" s="63"/>
      <x:c r="H203" s="63"/>
      <x:c r="I203" s="61"/>
      <x:c r="J203" s="64" t="str">
        <x:f>IF(OR(I203="",X203=""),"",IFERROR(DATEDIF(I203,X203,"m")/12,""))</x:f>
      </x:c>
      <x:c r="K203" s="60" t="str">
        <x:v>11 PORCHESTER ROAD, FLAT 22, LONDON, W2 5DP</x:v>
      </x:c>
      <x:c r="L203" s="60" t="str">
        <x:v> W2 5DP</x:v>
      </x:c>
      <x:c r="M203" s="60"/>
      <x:c r="N203" s="60" t="str">
        <x:v>W2 5DP</x:v>
      </x:c>
      <x:c r="O203" s="61"/>
      <x:c r="P203" s="64" t="str">
        <x:f>IF(OR(O203="",I203=""),"",IFERROR(DATEDIF(O203,I203,"m")/12,""))</x:f>
      </x:c>
      <x:c r="Q203" s="60"/>
      <x:c r="R203" s="61"/>
      <x:c r="S203" s="64" t="str">
        <x:f>IF(OR(R203="",X203=""),"",IFERROR(DATEDIF(R203,X203,"m")/12,""))</x:f>
      </x:c>
      <x:c r="T203" s="60" t="str">
        <x:v>SOFTWARE ENGINEERING LEAD</x:v>
      </x:c>
      <x:c r="U203" s="60" t="str">
        <x:v>ELSEVIER</x:v>
      </x:c>
      <x:c r="V203" s="60" t="str">
        <x:v>125 LONDON WALL, 125 LONDON WALL, BARBICAN, LONDON EC2Y 5AJ</x:v>
      </x:c>
      <x:c r="W203" s="63"/>
      <x:c r="X203" s="65" t="n">
        <x:f>TODAY()</x:f>
        <x:v>46250</x:v>
      </x:c>
    </x:row>
    <x:row r="204">
      <x:c r="A204" s="59" t="str">
        <x:v>DOUGLAS-HAMILTON</x:v>
      </x:c>
      <x:c r="B204" s="60" t="str">
        <x:v>ANDREW</x:v>
      </x:c>
      <x:c r="C204" s="60"/>
      <x:c r="D204" s="61" t="n">
        <x:v>28529.5</x:v>
      </x:c>
      <x:c r="E204" s="62" t="n">
        <x:f>IF(OR(D204="",X204=""),"",IFERROR(DATEDIF(D204,X204,"y"),""))</x:f>
        <x:v>48</x:v>
      </x:c>
      <x:c r="F204" s="60"/>
      <x:c r="G204" s="63"/>
      <x:c r="H204" s="63"/>
      <x:c r="I204" s="61"/>
      <x:c r="J204" s="64" t="str">
        <x:f>IF(OR(I204="",X204=""),"",IFERROR(DATEDIF(I204,X204,"m")/12,""))</x:f>
      </x:c>
      <x:c r="K204" s="60" t="str">
        <x:v>FLAT 12, 40 REDCLIFFE SQUARE, LONDON, SW10 9HQ</x:v>
      </x:c>
      <x:c r="L204" s="60" t="str">
        <x:v> SW10 9HQ</x:v>
      </x:c>
      <x:c r="M204" s="60"/>
      <x:c r="N204" s="60" t="str">
        <x:v>SW10 9HQ</x:v>
      </x:c>
      <x:c r="O204" s="61"/>
      <x:c r="P204" s="64" t="str">
        <x:f>IF(OR(O204="",I204=""),"",IFERROR(DATEDIF(O204,I204,"m")/12,""))</x:f>
      </x:c>
      <x:c r="Q204" s="60"/>
      <x:c r="R204" s="61"/>
      <x:c r="S204" s="64" t="str">
        <x:f>IF(OR(R204="",X204=""),"",IFERROR(DATEDIF(R204,X204,"m")/12,""))</x:f>
      </x:c>
      <x:c r="T204" s="60"/>
      <x:c r="U204" s="60"/>
      <x:c r="V204" s="60"/>
      <x:c r="W204" s="63"/>
      <x:c r="X204" s="65" t="n">
        <x:f>TODAY()</x:f>
        <x:v>46250</x:v>
      </x:c>
    </x:row>
    <x:row r="205">
      <x:c r="A205" s="59" t="str">
        <x:v>DOUMA</x:v>
      </x:c>
      <x:c r="B205" s="60" t="str">
        <x:v>HILDE</x:v>
      </x:c>
      <x:c r="C205" s="60"/>
      <x:c r="D205" s="61" t="n">
        <x:v>33887.5</x:v>
      </x:c>
      <x:c r="E205" s="62" t="n">
        <x:f>IF(OR(D205="",X205=""),"",IFERROR(DATEDIF(D205,X205,"y"),""))</x:f>
        <x:v>33</x:v>
      </x:c>
      <x:c r="F205" s="60"/>
      <x:c r="G205" s="63"/>
      <x:c r="H205" s="63"/>
      <x:c r="I205" s="61"/>
      <x:c r="J205" s="64" t="str">
        <x:f>IF(OR(I205="",X205=""),"",IFERROR(DATEDIF(I205,X205,"m")/12,""))</x:f>
      </x:c>
      <x:c r="K205" s="60" t="str">
        <x:v>39 DRAYCOTT PLCE, LONDON, SW3 2SH</x:v>
      </x:c>
      <x:c r="L205" s="60" t="str">
        <x:v> SW3 2SH</x:v>
      </x:c>
      <x:c r="M205" s="60"/>
      <x:c r="N205" s="60" t="str">
        <x:v>SW3 2SH</x:v>
      </x:c>
      <x:c r="O205" s="61"/>
      <x:c r="P205" s="64" t="str">
        <x:f>IF(OR(O205="",I205=""),"",IFERROR(DATEDIF(O205,I205,"m")/12,""))</x:f>
      </x:c>
      <x:c r="Q205" s="60"/>
      <x:c r="R205" s="61"/>
      <x:c r="S205" s="64" t="str">
        <x:f>IF(OR(R205="",X205=""),"",IFERROR(DATEDIF(R205,X205,"m")/12,""))</x:f>
      </x:c>
      <x:c r="T205" s="60"/>
      <x:c r="U205" s="60"/>
      <x:c r="V205" s="60"/>
      <x:c r="W205" s="63"/>
      <x:c r="X205" s="65" t="n">
        <x:f>TODAY()</x:f>
        <x:v>46250</x:v>
      </x:c>
    </x:row>
    <x:row r="206">
      <x:c r="A206" s="59" t="str">
        <x:v>DOUMOU</x:v>
      </x:c>
      <x:c r="B206" s="60" t="str">
        <x:v>ZACKI</x:v>
      </x:c>
      <x:c r="C206" s="60"/>
      <x:c r="D206" s="61" t="n">
        <x:v>36631.5</x:v>
      </x:c>
      <x:c r="E206" s="62" t="n">
        <x:f>IF(OR(D206="",X206=""),"",IFERROR(DATEDIF(D206,X206,"y"),""))</x:f>
        <x:v>26</x:v>
      </x:c>
      <x:c r="F206" s="60"/>
      <x:c r="G206" s="63"/>
      <x:c r="H206" s="63"/>
      <x:c r="I206" s="61"/>
      <x:c r="J206" s="64" t="str">
        <x:f>IF(OR(I206="",X206=""),"",IFERROR(DATEDIF(I206,X206,"m")/12,""))</x:f>
      </x:c>
      <x:c r="K206" s="60" t="str">
        <x:v>FLAT 2, 270 FULHAM ROAD, SW10 9EW</x:v>
      </x:c>
      <x:c r="L206" s="60"/>
      <x:c r="M206" s="60"/>
      <x:c r="N206" s="60"/>
      <x:c r="O206" s="61"/>
      <x:c r="P206" s="64" t="str">
        <x:f>IF(OR(O206="",I206=""),"",IFERROR(DATEDIF(O206,I206,"m")/12,""))</x:f>
      </x:c>
      <x:c r="Q206" s="60"/>
      <x:c r="R206" s="61"/>
      <x:c r="S206" s="64" t="str">
        <x:f>IF(OR(R206="",X206=""),"",IFERROR(DATEDIF(R206,X206,"m")/12,""))</x:f>
      </x:c>
      <x:c r="T206" s="60"/>
      <x:c r="U206" s="60"/>
      <x:c r="V206" s="60"/>
      <x:c r="W206" s="63"/>
      <x:c r="X206" s="65" t="n">
        <x:f>TODAY()</x:f>
        <x:v>46250</x:v>
      </x:c>
    </x:row>
    <x:row r="207">
      <x:c r="A207" s="59" t="str">
        <x:v>DOURIN</x:v>
      </x:c>
      <x:c r="B207" s="60" t="str">
        <x:v>LAETITIA</x:v>
      </x:c>
      <x:c r="C207" s="60"/>
      <x:c r="D207" s="61" t="n">
        <x:v>30552.5</x:v>
      </x:c>
      <x:c r="E207" s="62" t="n">
        <x:f>IF(OR(D207="",X207=""),"",IFERROR(DATEDIF(D207,X207,"y"),""))</x:f>
        <x:v>42</x:v>
      </x:c>
      <x:c r="F207" s="60"/>
      <x:c r="G207" s="63"/>
      <x:c r="H207" s="63"/>
      <x:c r="I207" s="61" t="n">
        <x:v>43405.5</x:v>
      </x:c>
      <x:c r="J207" s="64" t="n">
        <x:f>IF(OR(I207="",X207=""),"",IFERROR(DATEDIF(I207,X207,"m")/12,""))</x:f>
        <x:v>7.75</x:v>
      </x:c>
      <x:c r="K207" s="60" t="str">
        <x:v>FLAT 5, 86 KENSINGTON PARK ROAD, LONDON, W11 2PL</x:v>
      </x:c>
      <x:c r="L207" s="60" t="str">
        <x:v> W11 2PL</x:v>
      </x:c>
      <x:c r="M207" s="60"/>
      <x:c r="N207" s="60" t="str">
        <x:v>W11 2PL</x:v>
      </x:c>
      <x:c r="O207" s="61"/>
      <x:c r="P207" s="64" t="str">
        <x:f>IF(OR(O207="",I207=""),"",IFERROR(DATEDIF(O207,I207,"m")/12,""))</x:f>
      </x:c>
      <x:c r="Q207" s="60"/>
      <x:c r="R207" s="61"/>
      <x:c r="S207" s="64" t="str">
        <x:f>IF(OR(R207="",X207=""),"",IFERROR(DATEDIF(R207,X207,"m")/12,""))</x:f>
      </x:c>
      <x:c r="T207" s="60"/>
      <x:c r="U207" s="60"/>
      <x:c r="V207" s="60"/>
      <x:c r="W207" s="63"/>
      <x:c r="X207" s="65" t="n">
        <x:f>TODAY()</x:f>
        <x:v>46250</x:v>
      </x:c>
    </x:row>
    <x:row r="208">
      <x:c r="A208" s="59" t="str">
        <x:v>DRAPKIN</x:v>
      </x:c>
      <x:c r="B208" s="60" t="str">
        <x:v>WALTER</x:v>
      </x:c>
      <x:c r="C208" s="60" t="str">
        <x:v>EDWARD SAUL</x:v>
      </x:c>
      <x:c r="D208" s="61" t="n">
        <x:v>23105.5</x:v>
      </x:c>
      <x:c r="E208" s="62" t="n">
        <x:f>IF(OR(D208="",X208=""),"",IFERROR(DATEDIF(D208,X208,"y"),""))</x:f>
        <x:v>63</x:v>
      </x:c>
      <x:c r="F208" s="60" t="str">
        <x:v>SCOTT</x:v>
      </x:c>
      <x:c r="G208" s="63"/>
      <x:c r="H208" s="63"/>
      <x:c r="I208" s="61"/>
      <x:c r="J208" s="64" t="str">
        <x:f>IF(OR(I208="",X208=""),"",IFERROR(DATEDIF(I208,X208,"m")/12,""))</x:f>
      </x:c>
      <x:c r="K208" s="60"/>
      <x:c r="L208" s="60"/>
      <x:c r="M208" s="60"/>
      <x:c r="N208" s="60"/>
      <x:c r="O208" s="61"/>
      <x:c r="P208" s="64" t="str">
        <x:f>IF(OR(O208="",I208=""),"",IFERROR(DATEDIF(O208,I208,"m")/12,""))</x:f>
      </x:c>
      <x:c r="Q208" s="60"/>
      <x:c r="R208" s="61"/>
      <x:c r="S208" s="64" t="str">
        <x:f>IF(OR(R208="",X208=""),"",IFERROR(DATEDIF(R208,X208,"m")/12,""))</x:f>
      </x:c>
      <x:c r="T208" s="60"/>
      <x:c r="U208" s="60"/>
      <x:c r="V208" s="60"/>
      <x:c r="W208" s="63"/>
      <x:c r="X208" s="65" t="n">
        <x:f>TODAY()</x:f>
        <x:v>46250</x:v>
      </x:c>
    </x:row>
    <x:row r="209">
      <x:c r="A209" s="59" t="str">
        <x:v>DROR</x:v>
      </x:c>
      <x:c r="B209" s="60" t="str">
        <x:v>ELLA</x:v>
      </x:c>
      <x:c r="C209" s="60"/>
      <x:c r="D209" s="61" t="n">
        <x:v>30959.5</x:v>
      </x:c>
      <x:c r="E209" s="62" t="n">
        <x:f>IF(OR(D209="",X209=""),"",IFERROR(DATEDIF(D209,X209,"y"),""))</x:f>
        <x:v>41</x:v>
      </x:c>
      <x:c r="F209" s="60" t="str">
        <x:v>BARSHALOM</x:v>
      </x:c>
      <x:c r="G209" s="63"/>
      <x:c r="H209" s="63"/>
      <x:c r="I209" s="61"/>
      <x:c r="J209" s="64" t="str">
        <x:f>IF(OR(I209="",X209=""),"",IFERROR(DATEDIF(I209,X209,"m")/12,""))</x:f>
      </x:c>
      <x:c r="K209" s="60"/>
      <x:c r="L209" s="60"/>
      <x:c r="M209" s="60"/>
      <x:c r="N209" s="60"/>
      <x:c r="O209" s="61"/>
      <x:c r="P209" s="64" t="str">
        <x:f>IF(OR(O209="",I209=""),"",IFERROR(DATEDIF(O209,I209,"m")/12,""))</x:f>
      </x:c>
      <x:c r="Q209" s="60"/>
      <x:c r="R209" s="61"/>
      <x:c r="S209" s="64" t="str">
        <x:f>IF(OR(R209="",X209=""),"",IFERROR(DATEDIF(R209,X209,"m")/12,""))</x:f>
      </x:c>
      <x:c r="T209" s="60"/>
      <x:c r="U209" s="60"/>
      <x:c r="V209" s="60"/>
      <x:c r="W209" s="63"/>
      <x:c r="X209" s="65" t="n">
        <x:f>TODAY()</x:f>
        <x:v>46250</x:v>
      </x:c>
    </x:row>
    <x:row r="210">
      <x:c r="A210" s="59" t="str">
        <x:v>DUCCIO</x:v>
      </x:c>
      <x:c r="B210" s="60" t="str">
        <x:v>GIOAVANNINI</x:v>
      </x:c>
      <x:c r="C210" s="60"/>
      <x:c r="D210" s="61" t="n">
        <x:v>29378.5</x:v>
      </x:c>
      <x:c r="E210" s="62" t="n">
        <x:f>IF(OR(D210="",X210=""),"",IFERROR(DATEDIF(D210,X210,"y"),""))</x:f>
        <x:v>46</x:v>
      </x:c>
      <x:c r="F210" s="60"/>
      <x:c r="G210" s="63"/>
      <x:c r="H210" s="63"/>
      <x:c r="I210" s="61"/>
      <x:c r="J210" s="64" t="str">
        <x:f>IF(OR(I210="",X210=""),"",IFERROR(DATEDIF(I210,X210,"m")/12,""))</x:f>
      </x:c>
      <x:c r="K210" s="60" t="str">
        <x:v>6 NEVERN SQUARE, GROUND FLOOR, LONDON, SWS 9NN</x:v>
      </x:c>
      <x:c r="L210" s="60" t="str">
        <x:v> SWS 9NN</x:v>
      </x:c>
      <x:c r="M210" s="60"/>
      <x:c r="N210" s="60" t="str">
        <x:v>SWS 9NN</x:v>
      </x:c>
      <x:c r="O210" s="61"/>
      <x:c r="P210" s="64" t="str">
        <x:f>IF(OR(O210="",I210=""),"",IFERROR(DATEDIF(O210,I210,"m")/12,""))</x:f>
      </x:c>
      <x:c r="Q210" s="60"/>
      <x:c r="R210" s="61"/>
      <x:c r="S210" s="64" t="str">
        <x:f>IF(OR(R210="",X210=""),"",IFERROR(DATEDIF(R210,X210,"m")/12,""))</x:f>
      </x:c>
      <x:c r="T210" s="60" t="str">
        <x:v>FINANCIAL ANALYST</x:v>
      </x:c>
      <x:c r="U210" s="60"/>
      <x:c r="V210" s="60"/>
      <x:c r="W210" s="63"/>
      <x:c r="X210" s="65" t="n">
        <x:f>TODAY()</x:f>
        <x:v>46250</x:v>
      </x:c>
    </x:row>
    <x:row r="211">
      <x:c r="A211" s="59" t="str">
        <x:v>DUGGAL</x:v>
      </x:c>
      <x:c r="B211" s="60" t="str">
        <x:v>SACHIN</x:v>
      </x:c>
      <x:c r="C211" s="60" t="str">
        <x:v>DEV</x:v>
      </x:c>
      <x:c r="D211" s="61" t="n">
        <x:v>30430.5</x:v>
      </x:c>
      <x:c r="E211" s="62" t="n">
        <x:f>IF(OR(D211="",X211=""),"",IFERROR(DATEDIF(D211,X211,"y"),""))</x:f>
        <x:v>43</x:v>
      </x:c>
      <x:c r="F211" s="60" t="str">
        <x:v>KAPOOR</x:v>
      </x:c>
      <x:c r="G211" s="63"/>
      <x:c r="H211" s="63"/>
      <x:c r="I211" s="61" t="n">
        <x:v>38473.5</x:v>
      </x:c>
      <x:c r="J211" s="64" t="n">
        <x:f>IF(OR(I211="",X211=""),"",IFERROR(DATEDIF(I211,X211,"m")/12,""))</x:f>
        <x:v>21.25</x:v>
      </x:c>
      <x:c r="K211" s="60" t="str">
        <x:v>FLAT B, 53 LANCASTER GATE, LONDON, W23NA</x:v>
      </x:c>
      <x:c r="L211" s="60" t="str">
        <x:v> W23NA</x:v>
      </x:c>
      <x:c r="M211" s="60"/>
      <x:c r="N211" s="60" t="str">
        <x:v>W23NA</x:v>
      </x:c>
      <x:c r="O211" s="61" t="n">
        <x:v>37408.5</x:v>
      </x:c>
      <x:c r="P211" s="64" t="n">
        <x:f>IF(OR(O211="",I211=""),"",IFERROR(DATEDIF(O211,I211,"m")/12,""))</x:f>
        <x:v>2.9166666666666665</x:v>
      </x:c>
      <x:c r="Q211" s="60"/>
      <x:c r="R211" s="61"/>
      <x:c r="S211" s="64" t="str">
        <x:f>IF(OR(R211="",X211=""),"",IFERROR(DATEDIF(R211,X211,"m")/12,""))</x:f>
      </x:c>
      <x:c r="T211" s="60"/>
      <x:c r="U211" s="60"/>
      <x:c r="V211" s="60"/>
      <x:c r="W211" s="63"/>
      <x:c r="X211" s="65" t="n">
        <x:f>TODAY()</x:f>
        <x:v>46250</x:v>
      </x:c>
    </x:row>
    <x:row r="212">
      <x:c r="A212" s="59" t="str">
        <x:v>DURKINA</x:v>
      </x:c>
      <x:c r="B212" s="60" t="str">
        <x:v>MARGARITA</x:v>
      </x:c>
      <x:c r="C212" s="60"/>
      <x:c r="D212" s="61" t="n">
        <x:v>33791.5</x:v>
      </x:c>
      <x:c r="E212" s="62" t="n">
        <x:f>IF(OR(D212="",X212=""),"",IFERROR(DATEDIF(D212,X212,"y"),""))</x:f>
        <x:v>34</x:v>
      </x:c>
      <x:c r="F212" s="60"/>
      <x:c r="G212" s="63"/>
      <x:c r="H212" s="63"/>
      <x:c r="I212" s="61" t="n">
        <x:v>43040.5</x:v>
      </x:c>
      <x:c r="J212" s="64" t="n">
        <x:f>IF(OR(I212="",X212=""),"",IFERROR(DATEDIF(I212,X212,"m")/12,""))</x:f>
        <x:v>8.75</x:v>
      </x:c>
      <x:c r="K212" s="60" t="str">
        <x:v>FLAT 12, 61-63 GLOUCESTER TERRACE, LONDON, W2 3DH</x:v>
      </x:c>
      <x:c r="L212" s="60" t="str">
        <x:v> W2 3DH</x:v>
      </x:c>
      <x:c r="M212" s="60"/>
      <x:c r="N212" s="60" t="str">
        <x:v>W2 3DH</x:v>
      </x:c>
      <x:c r="O212" s="61" t="n">
        <x:v>42675.5</x:v>
      </x:c>
      <x:c r="P212" s="64" t="n">
        <x:f>IF(OR(O212="",I212=""),"",IFERROR(DATEDIF(O212,I212,"m")/12,""))</x:f>
        <x:v>1</x:v>
      </x:c>
      <x:c r="Q212" s="60" t="str">
        <x:v>FIRST FLOOR FLAT, 42, WELLS HOUSE ROAD, WILLESDEN, LONDON, NW10 6EE</x:v>
      </x:c>
      <x:c r="R212" s="61"/>
      <x:c r="S212" s="64" t="str">
        <x:f>IF(OR(R212="",X212=""),"",IFERROR(DATEDIF(R212,X212,"m")/12,""))</x:f>
      </x:c>
      <x:c r="T212" s="60"/>
      <x:c r="U212" s="60"/>
      <x:c r="V212" s="60"/>
      <x:c r="W212" s="63"/>
      <x:c r="X212" s="65" t="n">
        <x:f>TODAY()</x:f>
        <x:v>46250</x:v>
      </x:c>
    </x:row>
    <x:row r="213">
      <x:c r="A213" s="59" t="str">
        <x:v>DUTTON</x:v>
      </x:c>
      <x:c r="B213" s="60" t="str">
        <x:v>MICHAEL</x:v>
      </x:c>
      <x:c r="C213" s="60"/>
      <x:c r="D213" s="61" t="n">
        <x:v>33340.5</x:v>
      </x:c>
      <x:c r="E213" s="62" t="n">
        <x:f>IF(OR(D213="",X213=""),"",IFERROR(DATEDIF(D213,X213,"y"),""))</x:f>
        <x:v>35</x:v>
      </x:c>
      <x:c r="F213" s="60" t="str">
        <x:v>COCKERILL</x:v>
      </x:c>
      <x:c r="G213" s="63"/>
      <x:c r="H213" s="63"/>
      <x:c r="I213" s="61" t="n">
        <x:v>41852.5</x:v>
      </x:c>
      <x:c r="J213" s="64" t="n">
        <x:f>IF(OR(I213="",X213=""),"",IFERROR(DATEDIF(I213,X213,"m")/12,""))</x:f>
        <x:v>12</x:v>
      </x:c>
      <x:c r="K213" s="60" t="str">
        <x:v>FLAT 7, 1 EARLS COURT SQUARE, LONDON, SW5 9BY</x:v>
      </x:c>
      <x:c r="L213" s="60" t="str">
        <x:v> SW5 9BY</x:v>
      </x:c>
      <x:c r="M213" s="60"/>
      <x:c r="N213" s="60" t="str">
        <x:v>SW5 9BY</x:v>
      </x:c>
      <x:c r="O213" s="61" t="n">
        <x:v>41699.5</x:v>
      </x:c>
      <x:c r="P213" s="64" t="n">
        <x:f>IF(OR(O213="",I213=""),"",IFERROR(DATEDIF(O213,I213,"m")/12,""))</x:f>
        <x:v>0.4166666666666667</x:v>
      </x:c>
      <x:c r="Q213" s="60" t="str">
        <x:v>FLAT 2, 16-26, BANNER STREET, LONDON, LONDON, EC1Y 8QE</x:v>
      </x:c>
      <x:c r="R213" s="61" t="n">
        <x:v>41791.5</x:v>
      </x:c>
      <x:c r="S213" s="64" t="n">
        <x:f>IF(OR(R213="",X213=""),"",IFERROR(DATEDIF(R213,X213,"m")/12,""))</x:f>
        <x:v>12.166666666666666</x:v>
      </x:c>
      <x:c r="T213" s="60" t="str">
        <x:v>SENIOR CATEGORY MANAGER</x:v>
      </x:c>
      <x:c r="U213" s="60" t="str">
        <x:v>DIXONS CARPHONE</x:v>
      </x:c>
      <x:c r="V213" s="60"/>
      <x:c r="W213" s="63"/>
      <x:c r="X213" s="65" t="n">
        <x:f>TODAY()</x:f>
        <x:v>46250</x:v>
      </x:c>
    </x:row>
    <x:row r="214">
      <x:c r="A214" s="59" t="str">
        <x:v>DVORAKOVA</x:v>
      </x:c>
      <x:c r="B214" s="60" t="str">
        <x:v>JANA</x:v>
      </x:c>
      <x:c r="C214" s="60"/>
      <x:c r="D214" s="61" t="n">
        <x:v>32347.5</x:v>
      </x:c>
      <x:c r="E214" s="62" t="n">
        <x:f>IF(OR(D214="",X214=""),"",IFERROR(DATEDIF(D214,X214,"y"),""))</x:f>
        <x:v>38</x:v>
      </x:c>
      <x:c r="F214" s="60"/>
      <x:c r="G214" s="63" t="str">
        <x:v>07425181858</x:v>
      </x:c>
      <x:c r="H214" s="63" t="str">
        <x:v>SS499047D</x:v>
      </x:c>
      <x:c r="I214" s="61" t="n">
        <x:v>44228.5</x:v>
      </x:c>
      <x:c r="J214" s="64" t="n">
        <x:f>IF(OR(I214="",X214=""),"",IFERROR(DATEDIF(I214,X214,"m")/12,""))</x:f>
        <x:v>5.5</x:v>
      </x:c>
      <x:c r="K214" s="60" t="str">
        <x:v>21, PHILBEACH GARDENS, LONDON, LONDON, SW5 9DY</x:v>
      </x:c>
      <x:c r="L214" s="60" t="str">
        <x:v> LONDON, SW5 9DY</x:v>
      </x:c>
      <x:c r="M214" s="60"/>
      <x:c r="N214" s="60" t="str">
        <x:v> SW5 9DY</x:v>
      </x:c>
      <x:c r="O214" s="61" t="n">
        <x:v>43586.5</x:v>
      </x:c>
      <x:c r="P214" s="64" t="n">
        <x:f>IF(OR(O214="",I214=""),"",IFERROR(DATEDIF(O214,I214,"m")/12,""))</x:f>
        <x:v>1.75</x:v>
      </x:c>
      <x:c r="Q214" s="60" t="str">
        <x:v>FLAT 5, 12 FAIRHOLME ROAD, LONDON, W14 9JX</x:v>
      </x:c>
      <x:c r="R214" s="61" t="n">
        <x:v>44197.5</x:v>
      </x:c>
      <x:c r="S214" s="64" t="n">
        <x:f>IF(OR(R214="",X214=""),"",IFERROR(DATEDIF(R214,X214,"m")/12,""))</x:f>
        <x:v>5.583333333333333</x:v>
      </x:c>
      <x:c r="T214" s="60" t="str">
        <x:v>PROJECT MANAGER</x:v>
      </x:c>
      <x:c r="U214" s="60" t="str">
        <x:v>GRAFTON&amp; CO LIMITED</x:v>
      </x:c>
      <x:c r="V214" s="60" t="str">
        <x:v>NO. 3.05, 1-2 HATFIELDS, LONDON, SE1 9PG, GB</x:v>
      </x:c>
      <x:c r="W214" s="63" t="str">
        <x:v>020 3653 0370</x:v>
      </x:c>
      <x:c r="X214" s="65" t="n">
        <x:f>TODAY()</x:f>
        <x:v>46250</x:v>
      </x:c>
    </x:row>
    <x:row r="215">
      <x:c r="A215" s="59" t="str">
        <x:v>E</x:v>
      </x:c>
      <x:c r="B215" s="60"/>
      <x:c r="C215" s="60"/>
      <x:c r="D215" s="61"/>
      <x:c r="E215" s="62" t="str">
        <x:f>IF(OR(D215="",X215=""),"",IFERROR(DATEDIF(D215,X215,"y"),""))</x:f>
      </x:c>
      <x:c r="F215" s="60"/>
      <x:c r="G215" s="63"/>
      <x:c r="H215" s="63"/>
      <x:c r="I215" s="61"/>
      <x:c r="J215" s="64" t="str">
        <x:f>IF(OR(I215="",X215=""),"",IFERROR(DATEDIF(I215,X215,"m")/12,""))</x:f>
      </x:c>
      <x:c r="K215" s="60"/>
      <x:c r="L215" s="60"/>
      <x:c r="M215" s="60"/>
      <x:c r="N215" s="60"/>
      <x:c r="O215" s="61"/>
      <x:c r="P215" s="64" t="str">
        <x:f>IF(OR(O215="",I215=""),"",IFERROR(DATEDIF(O215,I215,"m")/12,""))</x:f>
      </x:c>
      <x:c r="Q215" s="60"/>
      <x:c r="R215" s="61"/>
      <x:c r="S215" s="64" t="str">
        <x:f>IF(OR(R215="",X215=""),"",IFERROR(DATEDIF(R215,X215,"m")/12,""))</x:f>
      </x:c>
      <x:c r="T215" s="60"/>
      <x:c r="U215" s="60"/>
      <x:c r="V215" s="60"/>
      <x:c r="W215" s="63"/>
      <x:c r="X215" s="65" t="n">
        <x:f>TODAY()</x:f>
        <x:v>46250</x:v>
      </x:c>
    </x:row>
    <x:row r="216">
      <x:c r="A216" s="59" t="str">
        <x:v>EALES</x:v>
      </x:c>
      <x:c r="B216" s="60" t="str">
        <x:v>DARRYL</x:v>
      </x:c>
      <x:c r="C216" s="60" t="str">
        <x:v>CHARLES</x:v>
      </x:c>
      <x:c r="D216" s="61" t="n">
        <x:v>22193.5</x:v>
      </x:c>
      <x:c r="E216" s="62" t="n">
        <x:f>IF(OR(D216="",X216=""),"",IFERROR(DATEDIF(D216,X216,"y"),""))</x:f>
        <x:v>65</x:v>
      </x:c>
      <x:c r="F216" s="60" t="str">
        <x:v>LEWIS</x:v>
      </x:c>
      <x:c r="G216" s="63"/>
      <x:c r="H216" s="63" t="str">
        <x:v>WL326585C</x:v>
      </x:c>
      <x:c r="I216" s="61" t="n">
        <x:v>43617.5</x:v>
      </x:c>
      <x:c r="J216" s="64" t="n">
        <x:f>IF(OR(I216="",X216=""),"",IFERROR(DATEDIF(I216,X216,"m")/12,""))</x:f>
        <x:v>7.166666666666667</x:v>
      </x:c>
      <x:c r="K216" s="60" t="str">
        <x:v>FLAT 1, 12 EGERTON GARDENS, LONDON, SW3 2BW</x:v>
      </x:c>
      <x:c r="L216" s="60" t="str">
        <x:v> SW3 2BW</x:v>
      </x:c>
      <x:c r="M216" s="60"/>
      <x:c r="N216" s="60" t="str">
        <x:v>SW3 2BW</x:v>
      </x:c>
      <x:c r="O216" s="61" t="n">
        <x:v>41671.5</x:v>
      </x:c>
      <x:c r="P216" s="64" t="n">
        <x:f>IF(OR(O216="",I216=""),"",IFERROR(DATEDIF(O216,I216,"m")/12,""))</x:f>
        <x:v>5.333333333333333</x:v>
      </x:c>
      <x:c r="Q216" s="60" t="str">
        <x:v>801, BEDFORD GARDENS, LONDON, W8 7EE</x:v>
      </x:c>
      <x:c r="R216" s="61"/>
      <x:c r="S216" s="64" t="str">
        <x:f>IF(OR(R216="",X216=""),"",IFERROR(DATEDIF(R216,X216,"m")/12,""))</x:f>
      </x:c>
      <x:c r="T216" s="60"/>
      <x:c r="U216" s="60" t="str">
        <x:v>LDC LONDON</x:v>
      </x:c>
      <x:c r="V216" s="60"/>
      <x:c r="W216" s="63"/>
      <x:c r="X216" s="65" t="n">
        <x:f>TODAY()</x:f>
        <x:v>46250</x:v>
      </x:c>
    </x:row>
    <x:row r="217">
      <x:c r="A217" s="59" t="str">
        <x:v>EDGREN</x:v>
      </x:c>
      <x:c r="B217" s="60" t="str">
        <x:v>KARL</x:v>
      </x:c>
      <x:c r="C217" s="60" t="str">
        <x:v>OSCAR</x:v>
      </x:c>
      <x:c r="D217" s="61" t="n">
        <x:v>28415.5</x:v>
      </x:c>
      <x:c r="E217" s="62" t="n">
        <x:f>IF(OR(D217="",X217=""),"",IFERROR(DATEDIF(D217,X217,"y"),""))</x:f>
        <x:v>48</x:v>
      </x:c>
      <x:c r="F217" s="60"/>
      <x:c r="G217" s="63"/>
      <x:c r="H217" s="63"/>
      <x:c r="I217" s="61" t="n">
        <x:v>39845.5</x:v>
      </x:c>
      <x:c r="J217" s="64" t="n">
        <x:f>IF(OR(I217="",X217=""),"",IFERROR(DATEDIF(I217,X217,"m")/12,""))</x:f>
        <x:v>17.5</x:v>
      </x:c>
      <x:c r="K217" s="60" t="str">
        <x:v>FLAT 2, 6 SOUTHWELL GARDENS, LONDON, SW7 4SB</x:v>
      </x:c>
      <x:c r="L217" s="60" t="str">
        <x:v> SW7 4SB</x:v>
      </x:c>
      <x:c r="M217" s="60"/>
      <x:c r="N217" s="60" t="str">
        <x:v>SW7 4SB</x:v>
      </x:c>
      <x:c r="O217" s="61"/>
      <x:c r="P217" s="64" t="str">
        <x:f>IF(OR(O217="",I217=""),"",IFERROR(DATEDIF(O217,I217,"m")/12,""))</x:f>
      </x:c>
      <x:c r="Q217" s="60"/>
      <x:c r="R217" s="61"/>
      <x:c r="S217" s="64" t="str">
        <x:f>IF(OR(R217="",X217=""),"",IFERROR(DATEDIF(R217,X217,"m")/12,""))</x:f>
      </x:c>
      <x:c r="T217" s="60"/>
      <x:c r="U217" s="60"/>
      <x:c r="V217" s="60"/>
      <x:c r="W217" s="63"/>
      <x:c r="X217" s="65" t="n">
        <x:f>TODAY()</x:f>
        <x:v>46250</x:v>
      </x:c>
    </x:row>
    <x:row r="218">
      <x:c r="A218" s="59" t="str">
        <x:v>EDWARDS</x:v>
      </x:c>
      <x:c r="B218" s="60" t="str">
        <x:v>DARREN</x:v>
      </x:c>
      <x:c r="C218" s="60" t="str">
        <x:v>FRANK</x:v>
      </x:c>
      <x:c r="D218" s="61" t="n">
        <x:v>29016.5</x:v>
      </x:c>
      <x:c r="E218" s="62" t="n">
        <x:f>IF(OR(D218="",X218=""),"",IFERROR(DATEDIF(D218,X218,"y"),""))</x:f>
        <x:v>47</x:v>
      </x:c>
      <x:c r="F218" s="60" t="str">
        <x:v>WESTLEY</x:v>
      </x:c>
      <x:c r="G218" s="63" t="str">
        <x:v>07780332489</x:v>
      </x:c>
      <x:c r="H218" s="63"/>
      <x:c r="I218" s="61" t="n">
        <x:v>43405.5</x:v>
      </x:c>
      <x:c r="J218" s="64" t="n">
        <x:f>IF(OR(I218="",X218=""),"",IFERROR(DATEDIF(I218,X218,"m")/12,""))</x:f>
        <x:v>7.75</x:v>
      </x:c>
      <x:c r="K218" s="60" t="str">
        <x:v>FLAT 2, 43 PHILBEACH GARDENS, LONDON, SW5 9EB</x:v>
      </x:c>
      <x:c r="L218" s="60" t="str">
        <x:v> SW5 9EB</x:v>
      </x:c>
      <x:c r="M218" s="60"/>
      <x:c r="N218" s="60" t="str">
        <x:v>SW5 9EB</x:v>
      </x:c>
      <x:c r="O218" s="61" t="n">
        <x:v>42186.5</x:v>
      </x:c>
      <x:c r="P218" s="64" t="n">
        <x:f>IF(OR(O218="",I218=""),"",IFERROR(DATEDIF(O218,I218,"m")/12,""))</x:f>
        <x:v>3.3333333333333335</x:v>
      </x:c>
      <x:c r="Q218" s="60" t="str">
        <x:v>3, IFIELD ROAD, LONDON, LONDON, SW10 9AZ</x:v>
      </x:c>
      <x:c r="R218" s="61" t="n">
        <x:v>43405.5</x:v>
      </x:c>
      <x:c r="S218" s="64" t="n">
        <x:f>IF(OR(R218="",X218=""),"",IFERROR(DATEDIF(R218,X218,"m")/12,""))</x:f>
        <x:v>7.75</x:v>
      </x:c>
      <x:c r="T218" s="60" t="str">
        <x:v>COMPANY DIRECTOR</x:v>
      </x:c>
      <x:c r="U218" s="60" t="str">
        <x:v>MOLLY AND TOMMY LTD</x:v>
      </x:c>
      <x:c r="V218" s="60" t="str">
        <x:v>3 IFIELD ROAD, LONDON, ENGLAND, SW10 9AZ</x:v>
      </x:c>
      <x:c r="W218" s="63"/>
      <x:c r="X218" s="65" t="n">
        <x:f>TODAY()</x:f>
        <x:v>46250</x:v>
      </x:c>
    </x:row>
    <x:row r="219">
      <x:c r="A219" s="59" t="str">
        <x:v>EDWARDS</x:v>
      </x:c>
      <x:c r="B219" s="60" t="str">
        <x:v>MICHAEL</x:v>
      </x:c>
      <x:c r="C219" s="60" t="str">
        <x:v>ROBERT</x:v>
      </x:c>
      <x:c r="D219" s="61" t="n">
        <x:v>26631.5</x:v>
      </x:c>
      <x:c r="E219" s="62" t="n">
        <x:f>IF(OR(D219="",X219=""),"",IFERROR(DATEDIF(D219,X219,"y"),""))</x:f>
        <x:v>53</x:v>
      </x:c>
      <x:c r="F219" s="60" t="str">
        <x:v>SMITH</x:v>
      </x:c>
      <x:c r="G219" s="63"/>
      <x:c r="H219" s="63"/>
      <x:c r="I219" s="61"/>
      <x:c r="J219" s="64" t="str">
        <x:f>IF(OR(I219="",X219=""),"",IFERROR(DATEDIF(I219,X219,"m")/12,""))</x:f>
      </x:c>
      <x:c r="K219" s="60" t="str">
        <x:v>7 REGAL COURT, DAWES ROAD, LONDON, SW6 7DT</x:v>
      </x:c>
      <x:c r="L219" s="60" t="str">
        <x:v> SW6 7DT</x:v>
      </x:c>
      <x:c r="M219" s="60"/>
      <x:c r="N219" s="60" t="str">
        <x:v>SW6 7DT</x:v>
      </x:c>
      <x:c r="O219" s="61"/>
      <x:c r="P219" s="64" t="str">
        <x:f>IF(OR(O219="",I219=""),"",IFERROR(DATEDIF(O219,I219,"m")/12,""))</x:f>
      </x:c>
      <x:c r="Q219" s="60"/>
      <x:c r="R219" s="61"/>
      <x:c r="S219" s="64" t="str">
        <x:f>IF(OR(R219="",X219=""),"",IFERROR(DATEDIF(R219,X219,"m")/12,""))</x:f>
      </x:c>
      <x:c r="T219" s="60"/>
      <x:c r="U219" s="60"/>
      <x:c r="V219" s="60"/>
      <x:c r="W219" s="63"/>
      <x:c r="X219" s="65" t="n">
        <x:f>TODAY()</x:f>
        <x:v>46250</x:v>
      </x:c>
    </x:row>
    <x:row r="220">
      <x:c r="A220" s="59" t="str">
        <x:v>FANIN</x:v>
      </x:c>
      <x:c r="B220" s="60" t="str">
        <x:v>MASSIMO</x:v>
      </x:c>
      <x:c r="C220" s="60"/>
      <x:c r="D220" s="61" t="n">
        <x:v>27032.5</x:v>
      </x:c>
      <x:c r="E220" s="62" t="n">
        <x:f>IF(OR(D220="",X220=""),"",IFERROR(DATEDIF(D220,X220,"y"),""))</x:f>
        <x:v>52</x:v>
      </x:c>
      <x:c r="F220" s="60" t="str">
        <x:v>RUSSO</x:v>
      </x:c>
      <x:c r="G220" s="63"/>
      <x:c r="H220" s="63"/>
      <x:c r="I220" s="61" t="n">
        <x:v>40330.5</x:v>
      </x:c>
      <x:c r="J220" s="64" t="n">
        <x:f>IF(OR(I220="",X220=""),"",IFERROR(DATEDIF(I220,X220,"m")/12,""))</x:f>
        <x:v>16.166666666666668</x:v>
      </x:c>
      <x:c r="K220" s="60" t="str">
        <x:v>FLAT 5, 165 CROMWELL ROAD, LONDON, SW5 0SQ</x:v>
      </x:c>
      <x:c r="L220" s="60" t="str">
        <x:v> SW5 0SQ</x:v>
      </x:c>
      <x:c r="M220" s="60"/>
      <x:c r="N220" s="60" t="str">
        <x:v>SW5 0SQ</x:v>
      </x:c>
      <x:c r="O220" s="61"/>
      <x:c r="P220" s="64" t="str">
        <x:f>IF(OR(O220="",I220=""),"",IFERROR(DATEDIF(O220,I220,"m")/12,""))</x:f>
      </x:c>
      <x:c r="Q220" s="60"/>
      <x:c r="R220" s="61" t="n">
        <x:v>37288.5</x:v>
      </x:c>
      <x:c r="S220" s="64" t="n">
        <x:f>IF(OR(R220="",X220=""),"",IFERROR(DATEDIF(R220,X220,"m")/12,""))</x:f>
        <x:v>24.5</x:v>
      </x:c>
      <x:c r="T220" s="60" t="str">
        <x:v>ARCHITECT</x:v>
      </x:c>
      <x:c r="U220" s="60" t="str">
        <x:v>TLA STUDIOS</x:v>
      </x:c>
      <x:c r="V220" s="60"/>
      <x:c r="W220" s="63"/>
      <x:c r="X220" s="65" t="n">
        <x:f>TODAY()</x:f>
        <x:v>46250</x:v>
      </x:c>
    </x:row>
    <x:row r="221">
      <x:c r="A221" s="59" t="str">
        <x:v>FARAKLAS</x:v>
      </x:c>
      <x:c r="B221" s="60" t="str">
        <x:v>IOANNIS</x:v>
      </x:c>
      <x:c r="C221" s="60" t="str">
        <x:v>NIKOLAOU</x:v>
      </x:c>
      <x:c r="D221" s="61" t="n">
        <x:v>19237.5</x:v>
      </x:c>
      <x:c r="E221" s="62" t="n">
        <x:f>IF(OR(D221="",X221=""),"",IFERROR(DATEDIF(D221,X221,"y"),""))</x:f>
        <x:v>73</x:v>
      </x:c>
      <x:c r="F221" s="60" t="str">
        <x:v>PANTELIS</x:v>
      </x:c>
      <x:c r="G221" s="63" t="str">
        <x:v>07852919523</x:v>
      </x:c>
      <x:c r="H221" s="63" t="str">
        <x:v>JA635304A</x:v>
      </x:c>
      <x:c r="I221" s="61" t="n">
        <x:v>43221.5</x:v>
      </x:c>
      <x:c r="J221" s="64" t="n">
        <x:f>IF(OR(I221="",X221=""),"",IFERROR(DATEDIF(I221,X221,"m")/12,""))</x:f>
        <x:v>8.25</x:v>
      </x:c>
      <x:c r="K221" s="60" t="str">
        <x:v>FLAT E, 290-294 LATIMER ROAD, W10 6QW</x:v>
      </x:c>
      <x:c r="L221" s="60"/>
      <x:c r="M221" s="60"/>
      <x:c r="N221" s="60"/>
      <x:c r="O221" s="61"/>
      <x:c r="P221" s="64" t="str">
        <x:f>IF(OR(O221="",I221=""),"",IFERROR(DATEDIF(O221,I221,"m")/12,""))</x:f>
      </x:c>
      <x:c r="Q221" s="60"/>
      <x:c r="R221" s="61" t="n">
        <x:v>40787.5</x:v>
      </x:c>
      <x:c r="S221" s="64" t="n">
        <x:f>IF(OR(R221="",X221=""),"",IFERROR(DATEDIF(R221,X221,"m")/12,""))</x:f>
        <x:v>14.916666666666666</x:v>
      </x:c>
      <x:c r="T221" s="60" t="str">
        <x:v>COMPANY DIRECTOR</x:v>
      </x:c>
      <x:c r="U221" s="60" t="str">
        <x:v>ALL ABOUT SHIPPINNG</x:v>
      </x:c>
      <x:c r="V221" s="60" t="str">
        <x:v>12 GATEWAY MEWS, BOUNDS GREEN, LONDON, N11 2UT</x:v>
      </x:c>
      <x:c r="W221" s="63"/>
      <x:c r="X221" s="65" t="n">
        <x:f>TODAY()</x:f>
        <x:v>46250</x:v>
      </x:c>
    </x:row>
    <x:row r="222">
      <x:c r="A222" s="59" t="str">
        <x:v>FAUCHEUR</x:v>
      </x:c>
      <x:c r="B222" s="60" t="str">
        <x:v>CESAR</x:v>
      </x:c>
      <x:c r="C222" s="60" t="str">
        <x:v>PAUL LOUIS</x:v>
      </x:c>
      <x:c r="D222" s="61" t="n">
        <x:v>33774.5</x:v>
      </x:c>
      <x:c r="E222" s="62" t="n">
        <x:f>IF(OR(D222="",X222=""),"",IFERROR(DATEDIF(D222,X222,"y"),""))</x:f>
        <x:v>34</x:v>
      </x:c>
      <x:c r="F222" s="60"/>
      <x:c r="G222" s="63"/>
      <x:c r="H222" s="63"/>
      <x:c r="I222" s="61" t="n">
        <x:v>45139.5</x:v>
      </x:c>
      <x:c r="J222" s="64" t="n">
        <x:f>IF(OR(I222="",X222=""),"",IFERROR(DATEDIF(I222,X222,"m")/12,""))</x:f>
        <x:v>3</x:v>
      </x:c>
      <x:c r="K222" s="60" t="str">
        <x:v>29 CORNWALL GARDENS LONDON, SW7 4AP</x:v>
      </x:c>
      <x:c r="L222" s="60" t="str">
        <x:v> SW7 4AP</x:v>
      </x:c>
      <x:c r="M222" s="60"/>
      <x:c r="N222" s="60" t="str">
        <x:v>SW7 4AP</x:v>
      </x:c>
      <x:c r="O222" s="61" t="n">
        <x:v>43891.5</x:v>
      </x:c>
      <x:c r="P222" s="64" t="n">
        <x:f>IF(OR(O222="",I222=""),"",IFERROR(DATEDIF(O222,I222,"m")/12,""))</x:f>
        <x:v>3.4166666666666665</x:v>
      </x:c>
      <x:c r="Q222" s="60" t="str">
        <x:v>FLAT 8 18 ROLAND GARDENS LONDON SW7 3PH</x:v>
      </x:c>
      <x:c r="R222" s="61" t="n">
        <x:v>44105.5</x:v>
      </x:c>
      <x:c r="S222" s="64" t="n">
        <x:f>IF(OR(R222="",X222=""),"",IFERROR(DATEDIF(R222,X222,"m")/12,""))</x:f>
        <x:v>5.833333333333333</x:v>
      </x:c>
      <x:c r="T222" s="60" t="str">
        <x:v>ACCOUNT EXECUTIVE</x:v>
      </x:c>
      <x:c r="U222" s="60" t="str">
        <x:v>JENSON FUNDING PARTNERS LLP</x:v>
      </x:c>
      <x:c r="V222" s="60" t="str">
        <x:v>COMMUNICATIONS HOUSE, 26 YORK STREET, LONDON, ENGLAND, W1U 6PZ</x:v>
      </x:c>
      <x:c r="W222" s="63"/>
      <x:c r="X222" s="65" t="n">
        <x:f>TODAY()</x:f>
        <x:v>46250</x:v>
      </x:c>
    </x:row>
    <x:row r="223">
      <x:c r="A223" s="59" t="str">
        <x:v>FERGUSON</x:v>
      </x:c>
      <x:c r="B223" s="60" t="str">
        <x:v>GEORGINA </x:v>
      </x:c>
      <x:c r="C223" s="60" t="str">
        <x:v>ELIZABETH R</x:v>
      </x:c>
      <x:c r="D223" s="61" t="n">
        <x:v>33600.5</x:v>
      </x:c>
      <x:c r="E223" s="62" t="n">
        <x:f>IF(OR(D223="",X223=""),"",IFERROR(DATEDIF(D223,X223,"y"),""))</x:f>
        <x:v>34</x:v>
      </x:c>
      <x:c r="F223" s="60"/>
      <x:c r="G223" s="63"/>
      <x:c r="H223" s="63"/>
      <x:c r="I223" s="61"/>
      <x:c r="J223" s="64" t="str">
        <x:f>IF(OR(I223="",X223=""),"",IFERROR(DATEDIF(I223,X223,"m")/12,""))</x:f>
      </x:c>
      <x:c r="K223" s="60" t="str">
        <x:v>FLAT 9, RUTLAND COURT, 21-23 DRAYCOTT PLACE, CHELSEA, SW3 2SQ</x:v>
      </x:c>
      <x:c r="L223" s="60"/>
      <x:c r="M223" s="60"/>
      <x:c r="N223" s="60"/>
      <x:c r="O223" s="61"/>
      <x:c r="P223" s="64" t="str">
        <x:f>IF(OR(O223="",I223=""),"",IFERROR(DATEDIF(O223,I223,"m")/12,""))</x:f>
      </x:c>
      <x:c r="Q223" s="60"/>
      <x:c r="R223" s="61"/>
      <x:c r="S223" s="64" t="str">
        <x:f>IF(OR(R223="",X223=""),"",IFERROR(DATEDIF(R223,X223,"m")/12,""))</x:f>
      </x:c>
      <x:c r="T223" s="60"/>
      <x:c r="U223" s="60"/>
      <x:c r="V223" s="60"/>
      <x:c r="W223" s="63"/>
      <x:c r="X223" s="65" t="n">
        <x:f>TODAY()</x:f>
        <x:v>46250</x:v>
      </x:c>
    </x:row>
    <x:row r="224">
      <x:c r="A224" s="59" t="str">
        <x:v>FERRARO</x:v>
      </x:c>
      <x:c r="B224" s="60" t="str">
        <x:v>PIERLUIGI</x:v>
      </x:c>
      <x:c r="C224" s="60"/>
      <x:c r="D224" s="61" t="n">
        <x:v>31425.5</x:v>
      </x:c>
      <x:c r="E224" s="62" t="n">
        <x:f>IF(OR(D224="",X224=""),"",IFERROR(DATEDIF(D224,X224,"y"),""))</x:f>
        <x:v>40</x:v>
      </x:c>
      <x:c r="F224" s="60"/>
      <x:c r="G224" s="63"/>
      <x:c r="H224" s="63"/>
      <x:c r="I224" s="61"/>
      <x:c r="J224" s="64" t="str">
        <x:f>IF(OR(I224="",X224=""),"",IFERROR(DATEDIF(I224,X224,"m")/12,""))</x:f>
      </x:c>
      <x:c r="K224" s="60"/>
      <x:c r="L224" s="60"/>
      <x:c r="M224" s="60"/>
      <x:c r="N224" s="60"/>
      <x:c r="O224" s="61"/>
      <x:c r="P224" s="64" t="str">
        <x:f>IF(OR(O224="",I224=""),"",IFERROR(DATEDIF(O224,I224,"m")/12,""))</x:f>
      </x:c>
      <x:c r="Q224" s="60"/>
      <x:c r="R224" s="61"/>
      <x:c r="S224" s="64" t="str">
        <x:f>IF(OR(R224="",X224=""),"",IFERROR(DATEDIF(R224,X224,"m")/12,""))</x:f>
      </x:c>
      <x:c r="T224" s="60"/>
      <x:c r="U224" s="60"/>
      <x:c r="V224" s="60"/>
      <x:c r="W224" s="63"/>
      <x:c r="X224" s="65" t="n">
        <x:f>TODAY()</x:f>
        <x:v>46250</x:v>
      </x:c>
    </x:row>
    <x:row r="225">
      <x:c r="A225" s="59" t="str">
        <x:v>FERRIERE</x:v>
      </x:c>
      <x:c r="B225" s="60" t="str">
        <x:v>JULIEN</x:v>
      </x:c>
      <x:c r="C225" s="60"/>
      <x:c r="D225" s="61"/>
      <x:c r="E225" s="62" t="str">
        <x:f>IF(OR(D225="",X225=""),"",IFERROR(DATEDIF(D225,X225,"y"),""))</x:f>
      </x:c>
      <x:c r="F225" s="60" t="str">
        <x:v>MONET</x:v>
      </x:c>
      <x:c r="G225" s="63"/>
      <x:c r="H225" s="63"/>
      <x:c r="I225" s="61" t="n">
        <x:v>41030.5</x:v>
      </x:c>
      <x:c r="J225" s="64" t="n">
        <x:f>IF(OR(I225="",X225=""),"",IFERROR(DATEDIF(I225,X225,"m")/12,""))</x:f>
        <x:v>14.25</x:v>
      </x:c>
      <x:c r="K225" s="60" t="str">
        <x:v>FLAT L, 26-27, QUEEN'S GATE GARDENS, LONDON, LONDON, SW7 5RP</x:v>
      </x:c>
      <x:c r="L225" s="60" t="str">
        <x:v> LONDON, SW7 5RP</x:v>
      </x:c>
      <x:c r="M225" s="60"/>
      <x:c r="N225" s="60" t="str">
        <x:v> SW7 5RP</x:v>
      </x:c>
      <x:c r="O225" s="61" t="n">
        <x:v>39508.5</x:v>
      </x:c>
      <x:c r="P225" s="64" t="n">
        <x:f>IF(OR(O225="",I225=""),"",IFERROR(DATEDIF(O225,I225,"m")/12,""))</x:f>
        <x:v>4.166666666666667</x:v>
      </x:c>
      <x:c r="Q225" s="60" t="str">
        <x:v>IMPERIAL HALL, 104-122, CITY ROAD, LONDON, LONDON, EC1V 2NR</x:v>
      </x:c>
      <x:c r="R225" s="61"/>
      <x:c r="S225" s="64" t="str">
        <x:f>IF(OR(R225="",X225=""),"",IFERROR(DATEDIF(R225,X225,"m")/12,""))</x:f>
      </x:c>
      <x:c r="T225" s="60"/>
      <x:c r="U225" s="60"/>
      <x:c r="V225" s="60"/>
      <x:c r="W225" s="63"/>
      <x:c r="X225" s="65" t="n">
        <x:f>TODAY()</x:f>
        <x:v>46250</x:v>
      </x:c>
    </x:row>
    <x:row r="226">
      <x:c r="A226" s="59" t="str">
        <x:v>FERRIERE</x:v>
      </x:c>
      <x:c r="B226" s="60" t="str">
        <x:v>MARIE</x:v>
      </x:c>
      <x:c r="C226" s="60"/>
      <x:c r="D226" s="61" t="n">
        <x:v>29167.5</x:v>
      </x:c>
      <x:c r="E226" s="62" t="n">
        <x:f>IF(OR(D226="",X226=""),"",IFERROR(DATEDIF(D226,X226,"y"),""))</x:f>
        <x:v>46</x:v>
      </x:c>
      <x:c r="F226" s="60" t="str">
        <x:v>CADOT</x:v>
      </x:c>
      <x:c r="G226" s="63"/>
      <x:c r="H226" s="63"/>
      <x:c r="I226" s="61" t="n">
        <x:v>41030.5</x:v>
      </x:c>
      <x:c r="J226" s="64" t="n">
        <x:f>IF(OR(I226="",X226=""),"",IFERROR(DATEDIF(I226,X226,"m")/12,""))</x:f>
        <x:v>14.25</x:v>
      </x:c>
      <x:c r="K226" s="60" t="str">
        <x:v>FLAT L, 26-27, QUEEN'S GATE GARDENS, LONDON, LONDON, SW7 5RP</x:v>
      </x:c>
      <x:c r="L226" s="60" t="str">
        <x:v> LONDON, SW7 5RP</x:v>
      </x:c>
      <x:c r="M226" s="60"/>
      <x:c r="N226" s="60" t="str">
        <x:v> SW7 5RP</x:v>
      </x:c>
      <x:c r="O226" s="61" t="n">
        <x:v>39508.5</x:v>
      </x:c>
      <x:c r="P226" s="64" t="n">
        <x:f>IF(OR(O226="",I226=""),"",IFERROR(DATEDIF(O226,I226,"m")/12,""))</x:f>
        <x:v>4.166666666666667</x:v>
      </x:c>
      <x:c r="Q226" s="60" t="str">
        <x:v>IMPERIAL HALL, 104-122, CITY ROAD, LONDON, LONDON, EC1V 2NR</x:v>
      </x:c>
      <x:c r="R226" s="61"/>
      <x:c r="S226" s="64" t="str">
        <x:f>IF(OR(R226="",X226=""),"",IFERROR(DATEDIF(R226,X226,"m")/12,""))</x:f>
      </x:c>
      <x:c r="T226" s="60"/>
      <x:c r="U226" s="60"/>
      <x:c r="V226" s="60"/>
      <x:c r="W226" s="63"/>
      <x:c r="X226" s="65" t="n">
        <x:f>TODAY()</x:f>
        <x:v>46250</x:v>
      </x:c>
    </x:row>
    <x:row r="227">
      <x:c r="A227" s="59" t="str">
        <x:v>FEWTRELL</x:v>
      </x:c>
      <x:c r="B227" s="60" t="str">
        <x:v>EDWIN</x:v>
      </x:c>
      <x:c r="C227" s="60" t="str">
        <x:v>JAMES</x:v>
      </x:c>
      <x:c r="D227" s="61" t="n">
        <x:v>29612.5</x:v>
      </x:c>
      <x:c r="E227" s="62" t="n">
        <x:f>IF(OR(D227="",X227=""),"",IFERROR(DATEDIF(D227,X227,"y"),""))</x:f>
        <x:v>45</x:v>
      </x:c>
      <x:c r="F227" s="60" t="str">
        <x:v>WELPLY</x:v>
      </x:c>
      <x:c r="G227" s="63"/>
      <x:c r="H227" s="63"/>
      <x:c r="I227" s="61"/>
      <x:c r="J227" s="64" t="str">
        <x:f>IF(OR(I227="",X227=""),"",IFERROR(DATEDIF(I227,X227,"m")/12,""))</x:f>
      </x:c>
      <x:c r="K227" s="60"/>
      <x:c r="L227" s="60"/>
      <x:c r="M227" s="60"/>
      <x:c r="N227" s="60"/>
      <x:c r="O227" s="61"/>
      <x:c r="P227" s="64" t="str">
        <x:f>IF(OR(O227="",I227=""),"",IFERROR(DATEDIF(O227,I227,"m")/12,""))</x:f>
      </x:c>
      <x:c r="Q227" s="60"/>
      <x:c r="R227" s="61"/>
      <x:c r="S227" s="64" t="str">
        <x:f>IF(OR(R227="",X227=""),"",IFERROR(DATEDIF(R227,X227,"m")/12,""))</x:f>
      </x:c>
      <x:c r="T227" s="60"/>
      <x:c r="U227" s="60"/>
      <x:c r="V227" s="60"/>
      <x:c r="W227" s="63"/>
      <x:c r="X227" s="65" t="n">
        <x:f>TODAY()</x:f>
        <x:v>46250</x:v>
      </x:c>
    </x:row>
    <x:row r="228">
      <x:c r="A228" s="59" t="str">
        <x:v>FINN</x:v>
      </x:c>
      <x:c r="B228" s="60" t="str">
        <x:v>TIMOTHY</x:v>
      </x:c>
      <x:c r="C228" s="60" t="str">
        <x:v>GERALD</x:v>
      </x:c>
      <x:c r="D228" s="61" t="n">
        <x:v>19295.5</x:v>
      </x:c>
      <x:c r="E228" s="62" t="n">
        <x:f>IF(OR(D228="",X228=""),"",IFERROR(DATEDIF(D228,X228,"y"),""))</x:f>
        <x:v>73</x:v>
      </x:c>
      <x:c r="F228" s="60" t="str">
        <x:v>O'SULLIVAN</x:v>
      </x:c>
      <x:c r="G228" s="63"/>
      <x:c r="H228" s="63"/>
      <x:c r="I228" s="61" t="n">
        <x:v>38200.5</x:v>
      </x:c>
      <x:c r="J228" s="64" t="n">
        <x:f>IF(OR(I228="",X228=""),"",IFERROR(DATEDIF(I228,X228,"m")/12,""))</x:f>
        <x:v>22</x:v>
      </x:c>
      <x:c r="K228" s="60" t="str">
        <x:v>11, NEVERN SQUARE, SW5 9NW</x:v>
      </x:c>
      <x:c r="L228" s="60"/>
      <x:c r="M228" s="60"/>
      <x:c r="N228" s="60"/>
      <x:c r="O228" s="61"/>
      <x:c r="P228" s="64" t="str">
        <x:f>IF(OR(O228="",I228=""),"",IFERROR(DATEDIF(O228,I228,"m")/12,""))</x:f>
      </x:c>
      <x:c r="Q228" s="60"/>
      <x:c r="R228" s="61"/>
      <x:c r="S228" s="64" t="str">
        <x:f>IF(OR(R228="",X228=""),"",IFERROR(DATEDIF(R228,X228,"m")/12,""))</x:f>
      </x:c>
      <x:c r="T228" s="60"/>
      <x:c r="U228" s="60"/>
      <x:c r="V228" s="60"/>
      <x:c r="W228" s="63"/>
      <x:c r="X228" s="65" t="n">
        <x:f>TODAY()</x:f>
        <x:v>46250</x:v>
      </x:c>
    </x:row>
    <x:row r="229">
      <x:c r="A229" s="59" t="str">
        <x:v>FLASZ</x:v>
      </x:c>
      <x:c r="B229" s="60" t="str">
        <x:v>ALEKSANDRA</x:v>
      </x:c>
      <x:c r="C229" s="60"/>
      <x:c r="D229" s="61" t="n">
        <x:v>32876.5</x:v>
      </x:c>
      <x:c r="E229" s="62" t="n">
        <x:f>IF(OR(D229="",X229=""),"",IFERROR(DATEDIF(D229,X229,"y"),""))</x:f>
        <x:v>36</x:v>
      </x:c>
      <x:c r="F229" s="60"/>
      <x:c r="G229" s="63"/>
      <x:c r="H229" s="63"/>
      <x:c r="I229" s="61"/>
      <x:c r="J229" s="64" t="str">
        <x:f>IF(OR(I229="",X229=""),"",IFERROR(DATEDIF(I229,X229,"m")/12,""))</x:f>
      </x:c>
      <x:c r="K229" s="60"/>
      <x:c r="L229" s="60"/>
      <x:c r="M229" s="60"/>
      <x:c r="N229" s="60"/>
      <x:c r="O229" s="61"/>
      <x:c r="P229" s="64" t="str">
        <x:f>IF(OR(O229="",I229=""),"",IFERROR(DATEDIF(O229,I229,"m")/12,""))</x:f>
      </x:c>
      <x:c r="Q229" s="60"/>
      <x:c r="R229" s="61" t="n">
        <x:v>43282.5</x:v>
      </x:c>
      <x:c r="S229" s="64" t="n">
        <x:f>IF(OR(R229="",X229=""),"",IFERROR(DATEDIF(R229,X229,"m")/12,""))</x:f>
        <x:v>8.083333333333334</x:v>
      </x:c>
      <x:c r="T229" s="60" t="str">
        <x:v>COMMUNICATIONS COORDINATOR</x:v>
      </x:c>
      <x:c r="U229" s="60" t="str">
        <x:v>DUNDAS WORLD LIMITED</x:v>
      </x:c>
      <x:c r="V229" s="60" t="str">
        <x:v>2 SWAN LANE, LONDON, ENGLAND GB</x:v>
      </x:c>
      <x:c r="W229" s="63"/>
      <x:c r="X229" s="65" t="n">
        <x:f>TODAY()</x:f>
        <x:v>46250</x:v>
      </x:c>
    </x:row>
    <x:row r="230">
      <x:c r="A230" s="59" t="str">
        <x:v>FLORIO</x:v>
      </x:c>
      <x:c r="B230" s="60" t="str">
        <x:v>EMANUEL</x:v>
      </x:c>
      <x:c r="C230" s="60"/>
      <x:c r="D230" s="61" t="n">
        <x:v>31735.5</x:v>
      </x:c>
      <x:c r="E230" s="62" t="n">
        <x:f>IF(OR(D230="",X230=""),"",IFERROR(DATEDIF(D230,X230,"y"),""))</x:f>
        <x:v>39</x:v>
      </x:c>
      <x:c r="F230" s="60" t="str">
        <x:v>FLORIO</x:v>
      </x:c>
      <x:c r="G230" s="63" t="str">
        <x:v>07557892793</x:v>
      </x:c>
      <x:c r="H230" s="63" t="str">
        <x:v>SP543803D</x:v>
      </x:c>
      <x:c r="I230" s="61" t="n">
        <x:v>43952.5</x:v>
      </x:c>
      <x:c r="J230" s="64" t="n">
        <x:f>IF(OR(I230="",X230=""),"",IFERROR(DATEDIF(I230,X230,"m")/12,""))</x:f>
        <x:v>6.25</x:v>
      </x:c>
      <x:c r="K230" s="60" t="str">
        <x:v>FLAT 11, 16 NEVERN SQUARE, LONDON, SW5 9NW</x:v>
      </x:c>
      <x:c r="L230" s="60" t="str">
        <x:v> SW5 9NW</x:v>
      </x:c>
      <x:c r="M230" s="60"/>
      <x:c r="N230" s="60" t="str">
        <x:v>SW5 9NW</x:v>
      </x:c>
      <x:c r="O230" s="61" t="n">
        <x:v>43344.5</x:v>
      </x:c>
      <x:c r="P230" s="64" t="n">
        <x:f>IF(OR(O230="",I230=""),"",IFERROR(DATEDIF(O230,I230,"m")/12,""))</x:f>
        <x:v>1.6666666666666667</x:v>
      </x:c>
      <x:c r="Q230" s="60" t="str">
        <x:v>50 SURBITON COURT, ST. ANDREW'S SQUARE, SURBITON,KT6 4ED</x:v>
      </x:c>
      <x:c r="R230" s="61" t="n">
        <x:v>44682.5</x:v>
      </x:c>
      <x:c r="S230" s="64" t="n">
        <x:f>IF(OR(R230="",X230=""),"",IFERROR(DATEDIF(R230,X230,"m")/12,""))</x:f>
        <x:v>4.25</x:v>
      </x:c>
      <x:c r="T230" s="60" t="str">
        <x:v>ENTERPRISE ACCOUNT EXECUTIVE EMEA</x:v>
      </x:c>
      <x:c r="U230" s="60" t="str">
        <x:v>JONCKERS</x:v>
      </x:c>
      <x:c r="V230" s="60" t="str">
        <x:v>JACTIN HOUSE, 24 HOOD STREET, ANCOATS, MANCHESTER M4 6WX</x:v>
      </x:c>
      <x:c r="W230" s="63" t="str">
        <x:v>03309950646</x:v>
      </x:c>
      <x:c r="X230" s="65" t="n">
        <x:f>TODAY()</x:f>
        <x:v>46250</x:v>
      </x:c>
    </x:row>
    <x:row r="231">
      <x:c r="A231" s="59" t="str">
        <x:v>FOGDEN</x:v>
      </x:c>
      <x:c r="B231" s="60" t="str">
        <x:v>TOM</x:v>
      </x:c>
      <x:c r="C231" s="60" t="str">
        <x:v>GREGORY SIMON</x:v>
      </x:c>
      <x:c r="D231" s="61" t="n">
        <x:v>29342.5</x:v>
      </x:c>
      <x:c r="E231" s="62" t="n">
        <x:f>IF(OR(D231="",X231=""),"",IFERROR(DATEDIF(D231,X231,"y"),""))</x:f>
        <x:v>46</x:v>
      </x:c>
      <x:c r="F231" s="60" t="str">
        <x:v>ADAMS</x:v>
      </x:c>
      <x:c r="G231" s="63"/>
      <x:c r="H231" s="63"/>
      <x:c r="I231" s="61"/>
      <x:c r="J231" s="64" t="str">
        <x:f>IF(OR(I231="",X231=""),"",IFERROR(DATEDIF(I231,X231,"m")/12,""))</x:f>
      </x:c>
      <x:c r="K231" s="60" t="str">
        <x:v>118 CLAPHAM COMMON WEST SIDE, LONDON, SW4 9AB</x:v>
      </x:c>
      <x:c r="L231" s="60" t="str">
        <x:v> SW4 9AB</x:v>
      </x:c>
      <x:c r="M231" s="60"/>
      <x:c r="N231" s="60" t="str">
        <x:v>SW4 9AB</x:v>
      </x:c>
      <x:c r="O231" s="61"/>
      <x:c r="P231" s="64" t="str">
        <x:f>IF(OR(O231="",I231=""),"",IFERROR(DATEDIF(O231,I231,"m")/12,""))</x:f>
      </x:c>
      <x:c r="Q231" s="60"/>
      <x:c r="R231" s="61"/>
      <x:c r="S231" s="64" t="str">
        <x:f>IF(OR(R231="",X231=""),"",IFERROR(DATEDIF(R231,X231,"m")/12,""))</x:f>
      </x:c>
      <x:c r="T231" s="60"/>
      <x:c r="U231" s="60"/>
      <x:c r="V231" s="60"/>
      <x:c r="W231" s="63"/>
      <x:c r="X231" s="65" t="n">
        <x:f>TODAY()</x:f>
        <x:v>46250</x:v>
      </x:c>
    </x:row>
    <x:row r="232">
      <x:c r="A232" s="59" t="str">
        <x:v>FOUND</x:v>
      </x:c>
      <x:c r="B232" s="60" t="str">
        <x:v>LUCINDA</x:v>
      </x:c>
      <x:c r="C232" s="60" t="str">
        <x:v>SALLY</x:v>
      </x:c>
      <x:c r="D232" s="61" t="n">
        <x:v>25271.5</x:v>
      </x:c>
      <x:c r="E232" s="62" t="n">
        <x:f>IF(OR(D232="",X232=""),"",IFERROR(DATEDIF(D232,X232,"y"),""))</x:f>
        <x:v>57</x:v>
      </x:c>
      <x:c r="F232" s="60" t="str">
        <x:v>JENKS</x:v>
      </x:c>
      <x:c r="G232" s="63" t="str">
        <x:v>07831857448</x:v>
      </x:c>
      <x:c r="H232" s="63"/>
      <x:c r="I232" s="61" t="n">
        <x:v>42948.5</x:v>
      </x:c>
      <x:c r="J232" s="64" t="n">
        <x:f>IF(OR(I232="",X232=""),"",IFERROR(DATEDIF(I232,X232,"m")/12,""))</x:f>
        <x:v>9</x:v>
      </x:c>
      <x:c r="K232" s="60" t="str">
        <x:v>GARDEN FLAT, HEATH VIEW, 8 WINDMILL DRIVE, LONDON, SW4 9DE</x:v>
      </x:c>
      <x:c r="L232" s="60" t="str">
        <x:v> SW4 9DE</x:v>
      </x:c>
      <x:c r="M232" s="60"/>
      <x:c r="N232" s="60" t="str">
        <x:v>SW4 9DE</x:v>
      </x:c>
      <x:c r="O232" s="61"/>
      <x:c r="P232" s="64" t="str">
        <x:f>IF(OR(O232="",I232=""),"",IFERROR(DATEDIF(O232,I232,"m")/12,""))</x:f>
      </x:c>
      <x:c r="Q232" s="60"/>
      <x:c r="R232" s="61" t="n">
        <x:v>35977.5</x:v>
      </x:c>
      <x:c r="S232" s="64" t="n">
        <x:f>IF(OR(R232="",X232=""),"",IFERROR(DATEDIF(R232,X232,"m")/12,""))</x:f>
        <x:v>28.083333333333332</x:v>
      </x:c>
      <x:c r="T232" s="60" t="str">
        <x:v>COMPANY DIRECTOR</x:v>
      </x:c>
      <x:c r="U232" s="60" t="str">
        <x:v>EVOLUTION RECRUITMENT LIMITED</x:v>
      </x:c>
      <x:c r="V232" s="60" t="str">
        <x:v>11A HILLGATE PLACE, LONDON, SW12 9ER</x:v>
      </x:c>
      <x:c r="W232" s="63"/>
      <x:c r="X232" s="65" t="n">
        <x:f>TODAY()</x:f>
        <x:v>46250</x:v>
      </x:c>
    </x:row>
    <x:row r="233">
      <x:c r="A233" s="59" t="str">
        <x:v>FOUND</x:v>
      </x:c>
      <x:c r="B233" s="60" t="str">
        <x:v>ROBERT</x:v>
      </x:c>
      <x:c r="C233" s="60" t="str">
        <x:v>ANTHONY WYNDHAM</x:v>
      </x:c>
      <x:c r="D233" s="61" t="n">
        <x:v>23857.5</x:v>
      </x:c>
      <x:c r="E233" s="62" t="n">
        <x:f>IF(OR(D233="",X233=""),"",IFERROR(DATEDIF(D233,X233,"y"),""))</x:f>
        <x:v>61</x:v>
      </x:c>
      <x:c r="F233" s="60" t="str">
        <x:v>RITCHIE-WATSON</x:v>
      </x:c>
      <x:c r="G233" s="63"/>
      <x:c r="H233" s="63"/>
      <x:c r="I233" s="61"/>
      <x:c r="J233" s="64" t="str">
        <x:f>IF(OR(I233="",X233=""),"",IFERROR(DATEDIF(I233,X233,"m")/12,""))</x:f>
      </x:c>
      <x:c r="K233" s="60"/>
      <x:c r="L233" s="60"/>
      <x:c r="M233" s="60"/>
      <x:c r="N233" s="60"/>
      <x:c r="O233" s="61"/>
      <x:c r="P233" s="64" t="str">
        <x:f>IF(OR(O233="",I233=""),"",IFERROR(DATEDIF(O233,I233,"m")/12,""))</x:f>
      </x:c>
      <x:c r="Q233" s="60"/>
      <x:c r="R233" s="61"/>
      <x:c r="S233" s="64" t="str">
        <x:f>IF(OR(R233="",X233=""),"",IFERROR(DATEDIF(R233,X233,"m")/12,""))</x:f>
      </x:c>
      <x:c r="T233" s="60"/>
      <x:c r="U233" s="60"/>
      <x:c r="V233" s="60"/>
      <x:c r="W233" s="63"/>
      <x:c r="X233" s="65" t="n">
        <x:f>TODAY()</x:f>
        <x:v>46250</x:v>
      </x:c>
    </x:row>
    <x:row r="234">
      <x:c r="A234" s="59" t="str">
        <x:v>FOUNTOUKIDIS</x:v>
      </x:c>
      <x:c r="B234" s="60" t="str">
        <x:v>SOFIA</x:v>
      </x:c>
      <x:c r="C234" s="60" t="str">
        <x:v>BARBARA</x:v>
      </x:c>
      <x:c r="D234" s="61" t="n">
        <x:v>29465.5</x:v>
      </x:c>
      <x:c r="E234" s="62" t="n">
        <x:f>IF(OR(D234="",X234=""),"",IFERROR(DATEDIF(D234,X234,"y"),""))</x:f>
        <x:v>45</x:v>
      </x:c>
      <x:c r="F234" s="60" t="str">
        <x:v>STAVRIANIDIS</x:v>
      </x:c>
      <x:c r="G234" s="63"/>
      <x:c r="H234" s="63"/>
      <x:c r="I234" s="61" t="n">
        <x:v>43739.5</x:v>
      </x:c>
      <x:c r="J234" s="64" t="n">
        <x:f>IF(OR(I234="",X234=""),"",IFERROR(DATEDIF(I234,X234,"m")/12,""))</x:f>
        <x:v>6.833333333333333</x:v>
      </x:c>
      <x:c r="K234" s="60" t="str">
        <x:v>FLAT 19, 165 CROMWELL ROAD, LONDON, SW5 0SQ</x:v>
      </x:c>
      <x:c r="L234" s="60" t="str">
        <x:v> SW5 0SQ</x:v>
      </x:c>
      <x:c r="M234" s="60"/>
      <x:c r="N234" s="60" t="str">
        <x:v>SW5 0SQ</x:v>
      </x:c>
      <x:c r="O234" s="61" t="n">
        <x:v>41760.5</x:v>
      </x:c>
      <x:c r="P234" s="64" t="n">
        <x:f>IF(OR(O234="",I234=""),"",IFERROR(DATEDIF(O234,I234,"m")/12,""))</x:f>
        <x:v>5.416666666666667</x:v>
      </x:c>
      <x:c r="Q234" s="60" t="str">
        <x:v>FLAT 807, POINT WEST, 116, CROMWELL ROAD, LONDON, LONDON, SW7 4XJ</x:v>
      </x:c>
      <x:c r="R234" s="61"/>
      <x:c r="S234" s="64" t="str">
        <x:f>IF(OR(R234="",X234=""),"",IFERROR(DATEDIF(R234,X234,"m")/12,""))</x:f>
      </x:c>
      <x:c r="T234" s="60" t="str">
        <x:v>BUSINESS OWNER</x:v>
      </x:c>
      <x:c r="U234" s="60" t="str">
        <x:v>SBFL LTD</x:v>
      </x:c>
      <x:c r="V234" s="60" t="str">
        <x:v>53 HIGH STREET, CLEOBURY MORTIMER, WORCESTERSHIRE, UNITED KINGDOM, DY14 8DQ</x:v>
      </x:c>
      <x:c r="W234" s="63"/>
      <x:c r="X234" s="65" t="n">
        <x:f>TODAY()</x:f>
        <x:v>46250</x:v>
      </x:c>
    </x:row>
    <x:row r="235">
      <x:c r="A235" s="59" t="str">
        <x:v>FOX</x:v>
      </x:c>
      <x:c r="B235" s="60" t="str">
        <x:v>JOSHUA</x:v>
      </x:c>
      <x:c r="C235" s="60"/>
      <x:c r="D235" s="61" t="n">
        <x:v>34198.5</x:v>
      </x:c>
      <x:c r="E235" s="62" t="n">
        <x:f>IF(OR(D235="",X235=""),"",IFERROR(DATEDIF(D235,X235,"y"),""))</x:f>
        <x:v>32</x:v>
      </x:c>
      <x:c r="F235" s="60" t="str">
        <x:v>RILEY</x:v>
      </x:c>
      <x:c r="G235" s="63"/>
      <x:c r="H235" s="63"/>
      <x:c r="I235" s="61" t="n">
        <x:v>43952.5</x:v>
      </x:c>
      <x:c r="J235" s="64" t="n">
        <x:f>IF(OR(I235="",X235=""),"",IFERROR(DATEDIF(I235,X235,"m")/12,""))</x:f>
        <x:v>6.25</x:v>
      </x:c>
      <x:c r="K235" s="60" t="str">
        <x:v>BASEMENT FLAT, 17, PHILBEACH GARDENS, LONDON, LONDON, SW5 9DY</x:v>
      </x:c>
      <x:c r="L235" s="60" t="str">
        <x:v> LONDON, SW5 9DY</x:v>
      </x:c>
      <x:c r="M235" s="60"/>
      <x:c r="N235" s="60" t="str">
        <x:v> SW5 9DY</x:v>
      </x:c>
      <x:c r="O235" s="61" t="n">
        <x:v>42583.5</x:v>
      </x:c>
      <x:c r="P235" s="64" t="n">
        <x:f>IF(OR(O235="",I235=""),"",IFERROR(DATEDIF(O235,I235,"m")/12,""))</x:f>
        <x:v>3.75</x:v>
      </x:c>
      <x:c r="Q235" s="60" t="str">
        <x:v>FLAT 2, 100, CLAPHAM COMMON SOUTHSIDE, LONDON, SW4 9DN</x:v>
      </x:c>
      <x:c r="R235" s="61" t="n">
        <x:v>42522.5</x:v>
      </x:c>
      <x:c r="S235" s="64" t="n">
        <x:f>IF(OR(R235="",X235=""),"",IFERROR(DATEDIF(R235,X235,"m")/12,""))</x:f>
        <x:v>10.166666666666666</x:v>
      </x:c>
      <x:c r="T235" s="60" t="str">
        <x:v>TRADER</x:v>
      </x:c>
      <x:c r="U235" s="60" t="str">
        <x:v>MACQUARIE GROUP LIMITED</x:v>
      </x:c>
      <x:c r="V235" s="60" t="str">
        <x:v>ROPEMAKER PLACE, 28 ROPEMAKER STREET, LONDON EC2Y 9HD</x:v>
      </x:c>
      <x:c r="W235" s="63"/>
      <x:c r="X235" s="65" t="n">
        <x:f>TODAY()</x:f>
        <x:v>46250</x:v>
      </x:c>
    </x:row>
    <x:row r="236">
      <x:c r="A236" s="59" t="str">
        <x:v>FOY</x:v>
      </x:c>
      <x:c r="B236" s="60" t="str">
        <x:v>MATTHEW</x:v>
      </x:c>
      <x:c r="C236" s="60" t="str">
        <x:v>JAMES</x:v>
      </x:c>
      <x:c r="D236" s="61" t="n">
        <x:v>29319.5</x:v>
      </x:c>
      <x:c r="E236" s="62" t="n">
        <x:f>IF(OR(D236="",X236=""),"",IFERROR(DATEDIF(D236,X236,"y"),""))</x:f>
        <x:v>46</x:v>
      </x:c>
      <x:c r="F236" s="60" t="str">
        <x:v>LABOW</x:v>
      </x:c>
      <x:c r="G236" s="63" t="str">
        <x:v>07759014879</x:v>
      </x:c>
      <x:c r="H236" s="63" t="str">
        <x:v>JJ060439D</x:v>
      </x:c>
      <x:c r="I236" s="61" t="n">
        <x:v>41699.5</x:v>
      </x:c>
      <x:c r="J236" s="64" t="n">
        <x:f>IF(OR(I236="",X236=""),"",IFERROR(DATEDIF(I236,X236,"m")/12,""))</x:f>
        <x:v>12.416666666666666</x:v>
      </x:c>
      <x:c r="K236" s="60" t="str">
        <x:v>FLAT 5, 13 BREWER STREET, LONDON, W1F0RH</x:v>
      </x:c>
      <x:c r="L236" s="60" t="str">
        <x:v> W1F0RH</x:v>
      </x:c>
      <x:c r="M236" s="60"/>
      <x:c r="N236" s="60" t="str">
        <x:v>W1F0RH</x:v>
      </x:c>
      <x:c r="O236" s="61" t="n">
        <x:v>40787.5</x:v>
      </x:c>
      <x:c r="P236" s="64" t="n">
        <x:f>IF(OR(O236="",I236=""),"",IFERROR(DATEDIF(O236,I236,"m")/12,""))</x:f>
        <x:v>2.5</x:v>
      </x:c>
      <x:c r="Q236" s="60" t="str">
        <x:v>9, THAMES REACH, 80 RAINVILLE ROAD, LONDON, W6 9HS</x:v>
      </x:c>
      <x:c r="R236" s="61" t="n">
        <x:v>40695.5</x:v>
      </x:c>
      <x:c r="S236" s="64" t="n">
        <x:f>IF(OR(R236="",X236=""),"",IFERROR(DATEDIF(R236,X236,"m")/12,""))</x:f>
        <x:v>15.166666666666666</x:v>
      </x:c>
      <x:c r="T236" s="60" t="str">
        <x:v>PARTNER</x:v>
      </x:c>
      <x:c r="U236" s="60" t="str">
        <x:v>SR ONE CAPITAL ADVISORS LIMITED</x:v>
      </x:c>
      <x:c r="V236" s="60" t="str">
        <x:v>29 FARM ST, MAYFAIR, LONDON W1J 5RL, UK</x:v>
      </x:c>
      <x:c r="W236" s="63"/>
      <x:c r="X236" s="65" t="n">
        <x:f>TODAY()</x:f>
        <x:v>46250</x:v>
      </x:c>
    </x:row>
    <x:row r="237">
      <x:c r="A237" s="59" t="str">
        <x:v>FRANGELLA</x:v>
      </x:c>
      <x:c r="B237" s="60" t="str">
        <x:v>DANIELE</x:v>
      </x:c>
      <x:c r="C237" s="60"/>
      <x:c r="D237" s="61"/>
      <x:c r="E237" s="62" t="str">
        <x:f>IF(OR(D237="",X237=""),"",IFERROR(DATEDIF(D237,X237,"y"),""))</x:f>
      </x:c>
      <x:c r="F237" s="60"/>
      <x:c r="G237" s="63"/>
      <x:c r="H237" s="63"/>
      <x:c r="I237" s="61"/>
      <x:c r="J237" s="64" t="str">
        <x:f>IF(OR(I237="",X237=""),"",IFERROR(DATEDIF(I237,X237,"m")/12,""))</x:f>
      </x:c>
      <x:c r="K237" s="60" t="str">
        <x:v>FLAT 3, 292-294 FULHAM ROAD, LONDON, SW10 9EW</x:v>
      </x:c>
      <x:c r="L237" s="60" t="str">
        <x:v> SW10 9EW</x:v>
      </x:c>
      <x:c r="M237" s="60"/>
      <x:c r="N237" s="60" t="str">
        <x:v>SW10 9EW</x:v>
      </x:c>
      <x:c r="O237" s="61"/>
      <x:c r="P237" s="64" t="str">
        <x:f>IF(OR(O237="",I237=""),"",IFERROR(DATEDIF(O237,I237,"m")/12,""))</x:f>
      </x:c>
      <x:c r="Q237" s="60"/>
      <x:c r="R237" s="61"/>
      <x:c r="S237" s="64" t="str">
        <x:f>IF(OR(R237="",X237=""),"",IFERROR(DATEDIF(R237,X237,"m")/12,""))</x:f>
      </x:c>
      <x:c r="T237" s="60"/>
      <x:c r="U237" s="60"/>
      <x:c r="V237" s="60"/>
      <x:c r="W237" s="63"/>
      <x:c r="X237" s="65" t="n">
        <x:f>TODAY()</x:f>
        <x:v>46250</x:v>
      </x:c>
    </x:row>
    <x:row r="238">
      <x:c r="A238" s="59" t="str">
        <x:v>FREUND</x:v>
      </x:c>
      <x:c r="B238" s="60" t="str">
        <x:v>MICHAEL</x:v>
      </x:c>
      <x:c r="C238" s="60" t="str">
        <x:v>WILLIAM</x:v>
      </x:c>
      <x:c r="D238" s="61" t="n">
        <x:v>26010.5</x:v>
      </x:c>
      <x:c r="E238" s="62" t="n">
        <x:f>IF(OR(D238="",X238=""),"",IFERROR(DATEDIF(D238,X238,"y"),""))</x:f>
        <x:v>55</x:v>
      </x:c>
      <x:c r="F238" s="60"/>
      <x:c r="G238" s="63"/>
      <x:c r="H238" s="63"/>
      <x:c r="I238" s="61"/>
      <x:c r="J238" s="64" t="str">
        <x:f>IF(OR(I238="",X238=""),"",IFERROR(DATEDIF(I238,X238,"m")/12,""))</x:f>
      </x:c>
      <x:c r="K238" s="60" t="str">
        <x:v>FLAT 2, 52, QUEEN'S GATE GARDENS, LONDON, LONDON, SW7 5NF</x:v>
      </x:c>
      <x:c r="L238" s="60" t="str">
        <x:v> LONDON, SW7 5NF</x:v>
      </x:c>
      <x:c r="M238" s="60"/>
      <x:c r="N238" s="60" t="str">
        <x:v> SW7 5NF</x:v>
      </x:c>
      <x:c r="O238" s="61"/>
      <x:c r="P238" s="64" t="str">
        <x:f>IF(OR(O238="",I238=""),"",IFERROR(DATEDIF(O238,I238,"m")/12,""))</x:f>
      </x:c>
      <x:c r="Q238" s="60"/>
      <x:c r="R238" s="61"/>
      <x:c r="S238" s="64" t="str">
        <x:f>IF(OR(R238="",X238=""),"",IFERROR(DATEDIF(R238,X238,"m")/12,""))</x:f>
      </x:c>
      <x:c r="T238" s="60"/>
      <x:c r="U238" s="60"/>
      <x:c r="V238" s="60"/>
      <x:c r="W238" s="63"/>
      <x:c r="X238" s="65" t="n">
        <x:f>TODAY()</x:f>
        <x:v>46250</x:v>
      </x:c>
    </x:row>
    <x:row r="239">
      <x:c r="A239" s="59" t="str">
        <x:v>FREYE</x:v>
      </x:c>
      <x:c r="B239" s="60" t="str">
        <x:v>HENRIK</x:v>
      </x:c>
      <x:c r="C239" s="60" t="str">
        <x:v>SEBASTIAN</x:v>
      </x:c>
      <x:c r="D239" s="61" t="n">
        <x:v>25628.5</x:v>
      </x:c>
      <x:c r="E239" s="62" t="n">
        <x:f>IF(OR(D239="",X239=""),"",IFERROR(DATEDIF(D239,X239,"y"),""))</x:f>
        <x:v>56</x:v>
      </x:c>
      <x:c r="F239" s="60"/>
      <x:c r="G239" s="63"/>
      <x:c r="H239" s="63"/>
      <x:c r="I239" s="61" t="n">
        <x:v>41760.5</x:v>
      </x:c>
      <x:c r="J239" s="64" t="n">
        <x:f>IF(OR(I239="",X239=""),"",IFERROR(DATEDIF(I239,X239,"m")/12,""))</x:f>
        <x:v>12.25</x:v>
      </x:c>
      <x:c r="K239" s="60" t="str">
        <x:v>FLAT 3, 52, QUEEN'S GATE GARDENS, LONDON, LONDON, SW7 5NF</x:v>
      </x:c>
      <x:c r="L239" s="60" t="str">
        <x:v> LONDON, SW7 5NF</x:v>
      </x:c>
      <x:c r="M239" s="60"/>
      <x:c r="N239" s="60" t="str">
        <x:v> SW7 5NF</x:v>
      </x:c>
      <x:c r="O239" s="61" t="n">
        <x:v>41030.5</x:v>
      </x:c>
      <x:c r="P239" s="64" t="n">
        <x:f>IF(OR(O239="",I239=""),"",IFERROR(DATEDIF(O239,I239,"m")/12,""))</x:f>
        <x:v>2</x:v>
      </x:c>
      <x:c r="Q239" s="60" t="str">
        <x:v>GROUND, 71, CORNWALL GARDENS, LONDON, LONDON, SW7 4BA</x:v>
      </x:c>
      <x:c r="R239" s="61" t="n">
        <x:v>38473.5</x:v>
      </x:c>
      <x:c r="S239" s="64" t="n">
        <x:f>IF(OR(R239="",X239=""),"",IFERROR(DATEDIF(R239,X239,"m")/12,""))</x:f>
        <x:v>21.25</x:v>
      </x:c>
      <x:c r="T239" s="60" t="str">
        <x:v>HEDGE FUND MANAGER</x:v>
      </x:c>
      <x:c r="U239" s="60" t="str">
        <x:v>MARSHALL WACE</x:v>
      </x:c>
      <x:c r="V239" s="60" t="str">
        <x:v>GEORGE HOUSE, 131 SLOANE STREET, LONDON, SW1X 9AL.</x:v>
      </x:c>
      <x:c r="W239" s="63" t="str">
        <x:v>02073162280</x:v>
      </x:c>
      <x:c r="X239" s="65" t="n">
        <x:f>TODAY()</x:f>
        <x:v>46250</x:v>
      </x:c>
    </x:row>
    <x:row r="240">
      <x:c r="A240" s="59" t="str">
        <x:v>FRIDLUND</x:v>
      </x:c>
      <x:c r="B240" s="60" t="str">
        <x:v>HENRIK</x:v>
      </x:c>
      <x:c r="C240" s="60" t="str">
        <x:v>CLAES ANDERS</x:v>
      </x:c>
      <x:c r="D240" s="61" t="n">
        <x:v>32997.5</x:v>
      </x:c>
      <x:c r="E240" s="62" t="n">
        <x:f>IF(OR(D240="",X240=""),"",IFERROR(DATEDIF(D240,X240,"y"),""))</x:f>
        <x:v>36</x:v>
      </x:c>
      <x:c r="F240" s="60"/>
      <x:c r="G240" s="63" t="str">
        <x:v>07415119339</x:v>
      </x:c>
      <x:c r="H240" s="63"/>
      <x:c r="I240" s="61" t="n">
        <x:v>43221.5</x:v>
      </x:c>
      <x:c r="J240" s="64" t="n">
        <x:f>IF(OR(I240="",X240=""),"",IFERROR(DATEDIF(I240,X240,"m")/12,""))</x:f>
        <x:v>8.25</x:v>
      </x:c>
      <x:c r="K240" s="60" t="str">
        <x:v>FLAT 4, 2 BARKER STREET, LONDON,SW10 9EN</x:v>
      </x:c>
      <x:c r="L240" s="60" t="str">
        <x:v>SW10 9EN</x:v>
      </x:c>
      <x:c r="M240" s="60"/>
      <x:c r="N240" s="60" t="str">
        <x:v>SW10 9EN</x:v>
      </x:c>
      <x:c r="O240" s="61"/>
      <x:c r="P240" s="64" t="str">
        <x:f>IF(OR(O240="",I240=""),"",IFERROR(DATEDIF(O240,I240,"m")/12,""))</x:f>
      </x:c>
      <x:c r="Q240" s="60"/>
      <x:c r="R240" s="61" t="n">
        <x:v>44044.5</x:v>
      </x:c>
      <x:c r="S240" s="64" t="n">
        <x:f>IF(OR(R240="",X240=""),"",IFERROR(DATEDIF(R240,X240,"m")/12,""))</x:f>
        <x:v>6</x:v>
      </x:c>
      <x:c r="T240" s="60" t="str">
        <x:v>CFO</x:v>
      </x:c>
      <x:c r="U240" s="60" t="str">
        <x:v>GALANTHUS GROUP</x:v>
      </x:c>
      <x:c r="V240" s="60" t="str">
        <x:v>FLAT 4, 2 BARKER STREET, LONDON,SW10 9EN</x:v>
      </x:c>
      <x:c r="W240" s="63"/>
      <x:c r="X240" s="65" t="n">
        <x:f>TODAY()</x:f>
        <x:v>46250</x:v>
      </x:c>
    </x:row>
    <x:row r="241">
      <x:c r="A241" s="59" t="str">
        <x:v>FRIEDRICH</x:v>
      </x:c>
      <x:c r="B241" s="60" t="str">
        <x:v>JEANETTE</x:v>
      </x:c>
      <x:c r="C241" s="60"/>
      <x:c r="D241" s="61" t="n">
        <x:v>21021.5</x:v>
      </x:c>
      <x:c r="E241" s="62" t="n">
        <x:f>IF(OR(D241="",X241=""),"",IFERROR(DATEDIF(D241,X241,"y"),""))</x:f>
        <x:v>69</x:v>
      </x:c>
      <x:c r="F241" s="60"/>
      <x:c r="G241" s="63" t="str">
        <x:v>07983142017</x:v>
      </x:c>
      <x:c r="H241" s="63"/>
      <x:c r="I241" s="61" t="n">
        <x:v>43405.5</x:v>
      </x:c>
      <x:c r="J241" s="64" t="n">
        <x:f>IF(OR(I241="",X241=""),"",IFERROR(DATEDIF(I241,X241,"m")/12,""))</x:f>
        <x:v>7.75</x:v>
      </x:c>
      <x:c r="K241" s="60" t="str">
        <x:v>FLAT 12, 59 BONDWAY, LONDON, LONDON, ENGLAND, SW8 1SJ</x:v>
      </x:c>
      <x:c r="L241" s="60" t="str">
        <x:v> LONDON, ENGLAND, SW8 1SJ</x:v>
      </x:c>
      <x:c r="M241" s="60"/>
      <x:c r="N241" s="60" t="str">
        <x:v>  SW8 1SJ</x:v>
      </x:c>
      <x:c r="O241" s="61"/>
      <x:c r="P241" s="64" t="str">
        <x:f>IF(OR(O241="",I241=""),"",IFERROR(DATEDIF(O241,I241,"m")/12,""))</x:f>
      </x:c>
      <x:c r="Q241" s="60"/>
      <x:c r="R241" s="61"/>
      <x:c r="S241" s="64" t="str">
        <x:f>IF(OR(R241="",X241=""),"",IFERROR(DATEDIF(R241,X241,"m")/12,""))</x:f>
      </x:c>
      <x:c r="T241" s="60"/>
      <x:c r="U241" s="60"/>
      <x:c r="V241" s="60"/>
      <x:c r="W241" s="63"/>
      <x:c r="X241" s="65" t="n">
        <x:f>TODAY()</x:f>
        <x:v>46250</x:v>
      </x:c>
    </x:row>
    <x:row r="242">
      <x:c r="A242" s="59" t="str">
        <x:v>FROLOV</x:v>
      </x:c>
      <x:c r="B242" s="60" t="str">
        <x:v>NIKOLAY</x:v>
      </x:c>
      <x:c r="C242" s="60" t="str">
        <x:v>VLADIMIROV</x:v>
      </x:c>
      <x:c r="D242" s="61" t="n">
        <x:v>26453.5</x:v>
      </x:c>
      <x:c r="E242" s="62" t="n">
        <x:f>IF(OR(D242="",X242=""),"",IFERROR(DATEDIF(D242,X242,"y"),""))</x:f>
        <x:v>54</x:v>
      </x:c>
      <x:c r="F242" s="60"/>
      <x:c r="G242" s="63"/>
      <x:c r="H242" s="63" t="str">
        <x:v>SY346615D</x:v>
      </x:c>
      <x:c r="I242" s="61"/>
      <x:c r="J242" s="64" t="str">
        <x:f>IF(OR(I242="",X242=""),"",IFERROR(DATEDIF(I242,X242,"m")/12,""))</x:f>
      </x:c>
      <x:c r="K242" s="60"/>
      <x:c r="L242" s="60"/>
      <x:c r="M242" s="60"/>
      <x:c r="N242" s="60"/>
      <x:c r="O242" s="61"/>
      <x:c r="P242" s="64" t="str">
        <x:f>IF(OR(O242="",I242=""),"",IFERROR(DATEDIF(O242,I242,"m")/12,""))</x:f>
      </x:c>
      <x:c r="Q242" s="60"/>
      <x:c r="R242" s="61"/>
      <x:c r="S242" s="64" t="str">
        <x:f>IF(OR(R242="",X242=""),"",IFERROR(DATEDIF(R242,X242,"m")/12,""))</x:f>
      </x:c>
      <x:c r="T242" s="60"/>
      <x:c r="U242" s="60"/>
      <x:c r="V242" s="60"/>
      <x:c r="W242" s="63"/>
      <x:c r="X242" s="65" t="n">
        <x:f>TODAY()</x:f>
        <x:v>46250</x:v>
      </x:c>
    </x:row>
    <x:row r="243">
      <x:c r="A243" s="59" t="str">
        <x:v>FRULAND</x:v>
      </x:c>
      <x:c r="B243" s="60" t="str">
        <x:v>JARED</x:v>
      </x:c>
      <x:c r="C243" s="60" t="str">
        <x:v>LYNN</x:v>
      </x:c>
      <x:c r="D243" s="61" t="n">
        <x:v>32653.5</x:v>
      </x:c>
      <x:c r="E243" s="62" t="n">
        <x:f>IF(OR(D243="",X243=""),"",IFERROR(DATEDIF(D243,X243,"y"),""))</x:f>
        <x:v>37</x:v>
      </x:c>
      <x:c r="F243" s="60" t="str">
        <x:v>CRANE</x:v>
      </x:c>
      <x:c r="G243" s="63" t="str">
        <x:v>07780126079</x:v>
      </x:c>
      <x:c r="H243" s="63"/>
      <x:c r="I243" s="61" t="n">
        <x:v>44835.5</x:v>
      </x:c>
      <x:c r="J243" s="64" t="n">
        <x:f>IF(OR(I243="",X243=""),"",IFERROR(DATEDIF(I243,X243,"m")/12,""))</x:f>
        <x:v>3.8333333333333335</x:v>
      </x:c>
      <x:c r="K243" s="60" t="str">
        <x:v>FLAT 14, 13 NEVERN SQUARE, LONDON, SW5 9NW</x:v>
      </x:c>
      <x:c r="L243" s="60" t="str">
        <x:v> SW5 9NW</x:v>
      </x:c>
      <x:c r="M243" s="60"/>
      <x:c r="N243" s="60" t="str">
        <x:v>SW5 9NW</x:v>
      </x:c>
      <x:c r="O243" s="61"/>
      <x:c r="P243" s="64" t="str">
        <x:f>IF(OR(O243="",I243=""),"",IFERROR(DATEDIF(O243,I243,"m")/12,""))</x:f>
      </x:c>
      <x:c r="Q243" s="60"/>
      <x:c r="R243" s="61" t="n">
        <x:v>43252.5</x:v>
      </x:c>
      <x:c r="S243" s="64" t="n">
        <x:f>IF(OR(R243="",X243=""),"",IFERROR(DATEDIF(R243,X243,"m")/12,""))</x:f>
        <x:v>8.166666666666666</x:v>
      </x:c>
      <x:c r="T243" s="60" t="str">
        <x:v>ASSISTANT DIRECTOR</x:v>
      </x:c>
      <x:c r="U243" s="60" t="str">
        <x:v>EY</x:v>
      </x:c>
      <x:c r="V243" s="60" t="str">
        <x:v>6 MORE LONDON PLACE, LONDON, SE1 2DA,</x:v>
      </x:c>
      <x:c r="W243" s="63" t="str">
        <x:v>020 79512000</x:v>
      </x:c>
      <x:c r="X243" s="65" t="n">
        <x:f>TODAY()</x:f>
        <x:v>46250</x:v>
      </x:c>
    </x:row>
    <x:row r="244">
      <x:c r="A244" s="59" t="str">
        <x:v>FRY</x:v>
      </x:c>
      <x:c r="B244" s="60" t="str">
        <x:v>JONATHAN</x:v>
      </x:c>
      <x:c r="C244" s="60" t="str">
        <x:v>EDWARD</x:v>
      </x:c>
      <x:c r="D244" s="61" t="n">
        <x:v>21678.5</x:v>
      </x:c>
      <x:c r="E244" s="62" t="n">
        <x:f>IF(OR(D244="",X244=""),"",IFERROR(DATEDIF(D244,X244,"y"),""))</x:f>
        <x:v>67</x:v>
      </x:c>
      <x:c r="F244" s="60"/>
      <x:c r="G244" s="63"/>
      <x:c r="H244" s="63"/>
      <x:c r="I244" s="61" t="n">
        <x:v>42826.5</x:v>
      </x:c>
      <x:c r="J244" s="64" t="n">
        <x:f>IF(OR(I244="",X244=""),"",IFERROR(DATEDIF(I244,X244,"m")/12,""))</x:f>
        <x:v>9.333333333333334</x:v>
      </x:c>
      <x:c r="K244" s="60" t="str">
        <x:v>FLAT 7, 44 BRYANSTON SQUARE, LONDON, W1H 7LL</x:v>
      </x:c>
      <x:c r="L244" s="60" t="str">
        <x:v> W1H 7LL</x:v>
      </x:c>
      <x:c r="M244" s="60"/>
      <x:c r="N244" s="60" t="str">
        <x:v>W1H 7LL</x:v>
      </x:c>
      <x:c r="O244" s="61"/>
      <x:c r="P244" s="64" t="str">
        <x:f>IF(OR(O244="",I244=""),"",IFERROR(DATEDIF(O244,I244,"m")/12,""))</x:f>
      </x:c>
      <x:c r="Q244" s="60"/>
      <x:c r="R244" s="61"/>
      <x:c r="S244" s="64" t="str">
        <x:f>IF(OR(R244="",X244=""),"",IFERROR(DATEDIF(R244,X244,"m")/12,""))</x:f>
      </x:c>
      <x:c r="T244" s="60"/>
      <x:c r="U244" s="60"/>
      <x:c r="V244" s="60"/>
      <x:c r="W244" s="63"/>
      <x:c r="X244" s="65" t="n">
        <x:f>TODAY()</x:f>
        <x:v>46250</x:v>
      </x:c>
    </x:row>
    <x:row r="245">
      <x:c r="A245" s="59" t="str">
        <x:v>FULLER</x:v>
      </x:c>
      <x:c r="B245" s="60" t="str">
        <x:v>VICTORIA</x:v>
      </x:c>
      <x:c r="C245" s="60" t="str">
        <x:v>MARY</x:v>
      </x:c>
      <x:c r="D245" s="61" t="n">
        <x:v>29648.5</x:v>
      </x:c>
      <x:c r="E245" s="62" t="n">
        <x:f>IF(OR(D245="",X245=""),"",IFERROR(DATEDIF(D245,X245,"y"),""))</x:f>
        <x:v>45</x:v>
      </x:c>
      <x:c r="F245" s="60" t="str">
        <x:v>DERRY</x:v>
      </x:c>
      <x:c r="G245" s="63"/>
      <x:c r="H245" s="63"/>
      <x:c r="I245" s="61" t="n">
        <x:v>40452.5</x:v>
      </x:c>
      <x:c r="J245" s="64" t="n">
        <x:f>IF(OR(I245="",X245=""),"",IFERROR(DATEDIF(I245,X245,"m")/12,""))</x:f>
        <x:v>15.833333333333334</x:v>
      </x:c>
      <x:c r="K245" s="60" t="str">
        <x:v>FLAT 16, 163 CROMWELL ROAD, LONDON, SW5 0SQ</x:v>
      </x:c>
      <x:c r="L245" s="60" t="str">
        <x:v> SW5 0SQ</x:v>
      </x:c>
      <x:c r="M245" s="60"/>
      <x:c r="N245" s="60" t="str">
        <x:v>SW5 0SQ</x:v>
      </x:c>
      <x:c r="O245" s="61"/>
      <x:c r="P245" s="64" t="str">
        <x:f>IF(OR(O245="",I245=""),"",IFERROR(DATEDIF(O245,I245,"m")/12,""))</x:f>
      </x:c>
      <x:c r="Q245" s="60"/>
      <x:c r="R245" s="61"/>
      <x:c r="S245" s="64" t="str">
        <x:f>IF(OR(R245="",X245=""),"",IFERROR(DATEDIF(R245,X245,"m")/12,""))</x:f>
      </x:c>
      <x:c r="T245" s="60" t="str">
        <x:v>WESTCLIFFE GROVE LIMITED</x:v>
      </x:c>
      <x:c r="U245" s="60" t="str">
        <x:v>PR</x:v>
      </x:c>
      <x:c r="V245" s="60" t="str">
        <x:v>MORLEYS 22 VICTORIA AVENUE, HARROGATE, NORTH YORKSHIRE, HG1 5PR</x:v>
      </x:c>
      <x:c r="W245" s="63"/>
      <x:c r="X245" s="65" t="n">
        <x:f>TODAY()</x:f>
        <x:v>46250</x:v>
      </x:c>
    </x:row>
    <x:row r="246">
      <x:c r="A246" s="59" t="str">
        <x:v>FYSON</x:v>
      </x:c>
      <x:c r="B246" s="60" t="str">
        <x:v>THOMAS</x:v>
      </x:c>
      <x:c r="C246" s="60" t="str">
        <x:v>CHARLES</x:v>
      </x:c>
      <x:c r="D246" s="61" t="n">
        <x:v>29062.5</x:v>
      </x:c>
      <x:c r="E246" s="62" t="n">
        <x:f>IF(OR(D246="",X246=""),"",IFERROR(DATEDIF(D246,X246,"y"),""))</x:f>
        <x:v>47</x:v>
      </x:c>
      <x:c r="F246" s="60" t="str">
        <x:v>OVENS</x:v>
      </x:c>
      <x:c r="G246" s="63"/>
      <x:c r="H246" s="63"/>
      <x:c r="I246" s="61" t="n">
        <x:v>42948.5</x:v>
      </x:c>
      <x:c r="J246" s="64" t="n">
        <x:f>IF(OR(I246="",X246=""),"",IFERROR(DATEDIF(I246,X246,"m")/12,""))</x:f>
        <x:v>9</x:v>
      </x:c>
      <x:c r="K246" s="60" t="str">
        <x:v>149 GOULDEN HOUSE, BULLEN STREET, LONDON, SW11 3HF</x:v>
      </x:c>
      <x:c r="L246" s="60" t="str">
        <x:v> SW11 3HF</x:v>
      </x:c>
      <x:c r="M246" s="60"/>
      <x:c r="N246" s="60" t="str">
        <x:v>SW11 3HF</x:v>
      </x:c>
      <x:c r="O246" s="61"/>
      <x:c r="P246" s="64" t="str">
        <x:f>IF(OR(O246="",I246=""),"",IFERROR(DATEDIF(O246,I246,"m")/12,""))</x:f>
      </x:c>
      <x:c r="Q246" s="60"/>
      <x:c r="R246" s="61" t="n">
        <x:v>43678.5</x:v>
      </x:c>
      <x:c r="S246" s="64" t="n">
        <x:f>IF(OR(R246="",X246=""),"",IFERROR(DATEDIF(R246,X246,"m")/12,""))</x:f>
        <x:v>7</x:v>
      </x:c>
      <x:c r="T246" s="60" t="str">
        <x:v>MANAGING DIRECTOR</x:v>
      </x:c>
      <x:c r="U246" s="60" t="str">
        <x:v>BLACKDOWN PARTNERS</x:v>
      </x:c>
      <x:c r="V246" s="60" t="str">
        <x:v>BRIXTON ROAD, LONDON, SW9 6DE</x:v>
      </x:c>
      <x:c r="W246" s="63" t="str">
        <x:v>0203 807 8484</x:v>
      </x:c>
      <x:c r="X246" s="65" t="n">
        <x:f>TODAY()</x:f>
        <x:v>46250</x:v>
      </x:c>
    </x:row>
    <x:row r="247">
      <x:c r="A247" s="59" t="str">
        <x:v>G</x:v>
      </x:c>
      <x:c r="B247" s="60"/>
      <x:c r="C247" s="60"/>
      <x:c r="D247" s="61"/>
      <x:c r="E247" s="62" t="str">
        <x:f>IF(OR(D247="",X247=""),"",IFERROR(DATEDIF(D247,X247,"y"),""))</x:f>
      </x:c>
      <x:c r="F247" s="60"/>
      <x:c r="G247" s="63"/>
      <x:c r="H247" s="63"/>
      <x:c r="I247" s="61"/>
      <x:c r="J247" s="64" t="str">
        <x:f>IF(OR(I247="",X247=""),"",IFERROR(DATEDIF(I247,X247,"m")/12,""))</x:f>
      </x:c>
      <x:c r="K247" s="60"/>
      <x:c r="L247" s="60"/>
      <x:c r="M247" s="60"/>
      <x:c r="N247" s="60"/>
      <x:c r="O247" s="61"/>
      <x:c r="P247" s="64" t="str">
        <x:f>IF(OR(O247="",I247=""),"",IFERROR(DATEDIF(O247,I247,"m")/12,""))</x:f>
      </x:c>
      <x:c r="Q247" s="60"/>
      <x:c r="R247" s="61"/>
      <x:c r="S247" s="64" t="str">
        <x:f>IF(OR(R247="",X247=""),"",IFERROR(DATEDIF(R247,X247,"m")/12,""))</x:f>
      </x:c>
      <x:c r="T247" s="60"/>
      <x:c r="U247" s="60"/>
      <x:c r="V247" s="60"/>
      <x:c r="W247" s="63"/>
      <x:c r="X247" s="65" t="n">
        <x:f>TODAY()</x:f>
        <x:v>46250</x:v>
      </x:c>
    </x:row>
    <x:row r="248">
      <x:c r="A248" s="59" t="str">
        <x:v>GADIYA</x:v>
      </x:c>
      <x:c r="B248" s="60" t="str">
        <x:v>POOJA</x:v>
      </x:c>
      <x:c r="C248" s="60"/>
      <x:c r="D248" s="61" t="n">
        <x:v>33536.5</x:v>
      </x:c>
      <x:c r="E248" s="62" t="n">
        <x:f>IF(OR(D248="",X248=""),"",IFERROR(DATEDIF(D248,X248,"y"),""))</x:f>
        <x:v>34</x:v>
      </x:c>
      <x:c r="F248" s="60"/>
      <x:c r="G248" s="63"/>
      <x:c r="H248" s="63"/>
      <x:c r="I248" s="61"/>
      <x:c r="J248" s="64" t="str">
        <x:f>IF(OR(I248="",X248=""),"",IFERROR(DATEDIF(I248,X248,"m")/12,""))</x:f>
      </x:c>
      <x:c r="K248" s="60" t="str">
        <x:v>FLAT 21,61-63 GLOUCESTER TERRACE</x:v>
      </x:c>
      <x:c r="L248" s="60"/>
      <x:c r="M248" s="60"/>
      <x:c r="N248" s="60"/>
      <x:c r="O248" s="61"/>
      <x:c r="P248" s="64" t="str">
        <x:f>IF(OR(O248="",I248=""),"",IFERROR(DATEDIF(O248,I248,"m")/12,""))</x:f>
      </x:c>
      <x:c r="Q248" s="60"/>
      <x:c r="R248" s="61"/>
      <x:c r="S248" s="64" t="str">
        <x:f>IF(OR(R248="",X248=""),"",IFERROR(DATEDIF(R248,X248,"m")/12,""))</x:f>
      </x:c>
      <x:c r="T248" s="60"/>
      <x:c r="U248" s="60"/>
      <x:c r="V248" s="60"/>
      <x:c r="W248" s="63"/>
      <x:c r="X248" s="65" t="n">
        <x:f>TODAY()</x:f>
        <x:v>46250</x:v>
      </x:c>
    </x:row>
    <x:row r="249">
      <x:c r="A249" s="59" t="str">
        <x:v>GALANI</x:v>
      </x:c>
      <x:c r="B249" s="60" t="str">
        <x:v>JOHN</x:v>
      </x:c>
      <x:c r="C249" s="60" t="str">
        <x:v>ANTHONY</x:v>
      </x:c>
      <x:c r="D249" s="61" t="n">
        <x:v>26661.5</x:v>
      </x:c>
      <x:c r="E249" s="62" t="n">
        <x:f>IF(OR(D249="",X249=""),"",IFERROR(DATEDIF(D249,X249,"y"),""))</x:f>
        <x:v>53</x:v>
      </x:c>
      <x:c r="F249" s="60" t="str">
        <x:v>FAFALIOS</x:v>
      </x:c>
      <x:c r="G249" s="63"/>
      <x:c r="H249" s="63"/>
      <x:c r="I249" s="61"/>
      <x:c r="J249" s="64" t="str">
        <x:f>IF(OR(I249="",X249=""),"",IFERROR(DATEDIF(I249,X249,"m")/12,""))</x:f>
      </x:c>
      <x:c r="K249" s="60"/>
      <x:c r="L249" s="60"/>
      <x:c r="M249" s="60"/>
      <x:c r="N249" s="60"/>
      <x:c r="O249" s="61"/>
      <x:c r="P249" s="64" t="str">
        <x:f>IF(OR(O249="",I249=""),"",IFERROR(DATEDIF(O249,I249,"m")/12,""))</x:f>
      </x:c>
      <x:c r="Q249" s="60"/>
      <x:c r="R249" s="61"/>
      <x:c r="S249" s="64" t="str">
        <x:f>IF(OR(R249="",X249=""),"",IFERROR(DATEDIF(R249,X249,"m")/12,""))</x:f>
      </x:c>
      <x:c r="T249" s="60"/>
      <x:c r="U249" s="60"/>
      <x:c r="V249" s="60"/>
      <x:c r="W249" s="63"/>
      <x:c r="X249" s="65" t="n">
        <x:f>TODAY()</x:f>
        <x:v>46250</x:v>
      </x:c>
    </x:row>
    <x:row r="250">
      <x:c r="A250" s="59" t="str">
        <x:v>GALLI</x:v>
      </x:c>
      <x:c r="B250" s="60" t="str">
        <x:v>GABRIELE</x:v>
      </x:c>
      <x:c r="C250" s="60"/>
      <x:c r="D250" s="61" t="n">
        <x:v>31896.5</x:v>
      </x:c>
      <x:c r="E250" s="62" t="n">
        <x:f>IF(OR(D250="",X250=""),"",IFERROR(DATEDIF(D250,X250,"y"),""))</x:f>
        <x:v>39</x:v>
      </x:c>
      <x:c r="F250" s="60"/>
      <x:c r="G250" s="63" t="str">
        <x:v>07759072355</x:v>
      </x:c>
      <x:c r="H250" s="63"/>
      <x:c r="I250" s="61" t="n">
        <x:v>44652.5</x:v>
      </x:c>
      <x:c r="J250" s="64" t="n">
        <x:f>IF(OR(I250="",X250=""),"",IFERROR(DATEDIF(I250,X250,"m")/12,""))</x:f>
        <x:v>4.333333333333333</x:v>
      </x:c>
      <x:c r="K250" s="60" t="str">
        <x:v>6 NEVERN SQUARE, LONDON, SWS 9NN</x:v>
      </x:c>
      <x:c r="L250" s="60" t="str">
        <x:v> SWS 9NN</x:v>
      </x:c>
      <x:c r="M250" s="60"/>
      <x:c r="N250" s="60" t="str">
        <x:v>SWS 9NN</x:v>
      </x:c>
      <x:c r="O250" s="61"/>
      <x:c r="P250" s="64" t="str">
        <x:f>IF(OR(O250="",I250=""),"",IFERROR(DATEDIF(O250,I250,"m")/12,""))</x:f>
      </x:c>
      <x:c r="Q250" s="60" t="str">
        <x:v>4 NEVERN SQUARE, LONDON, SW5 9NN</x:v>
      </x:c>
      <x:c r="R250" s="61" t="n">
        <x:v>43952.5</x:v>
      </x:c>
      <x:c r="S250" s="64" t="n">
        <x:f>IF(OR(R250="",X250=""),"",IFERROR(DATEDIF(R250,X250,"m")/12,""))</x:f>
        <x:v>6.25</x:v>
      </x:c>
      <x:c r="T250" s="60" t="str">
        <x:v>INVESTOR</x:v>
      </x:c>
      <x:c r="U250" s="60" t="str">
        <x:v>FRAMESTORE</x:v>
      </x:c>
      <x:c r="V250" s="60"/>
      <x:c r="W250" s="63"/>
      <x:c r="X250" s="65" t="n">
        <x:f>TODAY()</x:f>
        <x:v>46250</x:v>
      </x:c>
    </x:row>
    <x:row r="251">
      <x:c r="A251" s="59" t="str">
        <x:v>GALMINAS</x:v>
      </x:c>
      <x:c r="B251" s="60" t="str">
        <x:v>ELIZAVETA</x:v>
      </x:c>
      <x:c r="C251" s="60"/>
      <x:c r="D251" s="61" t="n">
        <x:v>35532.5</x:v>
      </x:c>
      <x:c r="E251" s="62" t="n">
        <x:f>IF(OR(D251="",X251=""),"",IFERROR(DATEDIF(D251,X251,"y"),""))</x:f>
        <x:v>29</x:v>
      </x:c>
      <x:c r="F251" s="60"/>
      <x:c r="G251" s="63" t="str">
        <x:v>07380438358</x:v>
      </x:c>
      <x:c r="H251" s="63"/>
      <x:c r="I251" s="61" t="n">
        <x:v>44256.5</x:v>
      </x:c>
      <x:c r="J251" s="64" t="n">
        <x:f>IF(OR(I251="",X251=""),"",IFERROR(DATEDIF(I251,X251,"m")/12,""))</x:f>
        <x:v>5.416666666666667</x:v>
      </x:c>
      <x:c r="K251" s="60" t="str">
        <x:v>17 LANCASTER GATE, LONDON, W2 3LH</x:v>
      </x:c>
      <x:c r="L251" s="60" t="str">
        <x:v> W2 3LH</x:v>
      </x:c>
      <x:c r="M251" s="60"/>
      <x:c r="N251" s="60" t="str">
        <x:v>W2 3LH</x:v>
      </x:c>
      <x:c r="O251" s="61"/>
      <x:c r="P251" s="64" t="str">
        <x:f>IF(OR(O251="",I251=""),"",IFERROR(DATEDIF(O251,I251,"m")/12,""))</x:f>
      </x:c>
      <x:c r="Q251" s="60"/>
      <x:c r="R251" s="61"/>
      <x:c r="S251" s="64" t="str">
        <x:f>IF(OR(R251="",X251=""),"",IFERROR(DATEDIF(R251,X251,"m")/12,""))</x:f>
      </x:c>
      <x:c r="T251" s="60"/>
      <x:c r="U251" s="60"/>
      <x:c r="V251" s="60"/>
      <x:c r="W251" s="63"/>
      <x:c r="X251" s="65" t="n">
        <x:f>TODAY()</x:f>
        <x:v>46250</x:v>
      </x:c>
    </x:row>
    <x:row r="252">
      <x:c r="A252" s="59" t="str">
        <x:v>GANANSIA</x:v>
      </x:c>
      <x:c r="B252" s="60" t="str">
        <x:v>CECILE</x:v>
      </x:c>
      <x:c r="C252" s="60" t="str">
        <x:v>ANNE</x:v>
      </x:c>
      <x:c r="D252" s="61" t="n">
        <x:v>29663.5</x:v>
      </x:c>
      <x:c r="E252" s="62" t="n">
        <x:f>IF(OR(D252="",X252=""),"",IFERROR(DATEDIF(D252,X252,"y"),""))</x:f>
        <x:v>45</x:v>
      </x:c>
      <x:c r="F252" s="60"/>
      <x:c r="G252" s="63" t="str">
        <x:v>07375040748</x:v>
      </x:c>
      <x:c r="H252" s="63"/>
      <x:c r="I252" s="61" t="n">
        <x:v>43678.5</x:v>
      </x:c>
      <x:c r="J252" s="64" t="n">
        <x:f>IF(OR(I252="",X252=""),"",IFERROR(DATEDIF(I252,X252,"m")/12,""))</x:f>
        <x:v>7</x:v>
      </x:c>
      <x:c r="K252" s="60" t="str">
        <x:v>FLAT L, 47 QUEENS GATE, LONDON, SW7 5JN</x:v>
      </x:c>
      <x:c r="L252" s="60" t="str">
        <x:v> SW7 5JN</x:v>
      </x:c>
      <x:c r="M252" s="60"/>
      <x:c r="N252" s="60" t="str">
        <x:v>SW7 5JN</x:v>
      </x:c>
      <x:c r="O252" s="61"/>
      <x:c r="P252" s="64" t="str">
        <x:f>IF(OR(O252="",I252=""),"",IFERROR(DATEDIF(O252,I252,"m")/12,""))</x:f>
      </x:c>
      <x:c r="Q252" s="60"/>
      <x:c r="R252" s="61" t="n">
        <x:v>44075.5</x:v>
      </x:c>
      <x:c r="S252" s="64" t="n">
        <x:f>IF(OR(R252="",X252=""),"",IFERROR(DATEDIF(R252,X252,"m")/12,""))</x:f>
        <x:v>5.916666666666667</x:v>
      </x:c>
      <x:c r="T252" s="60" t="str">
        <x:v>DIRECTOR</x:v>
      </x:c>
      <x:c r="U252" s="60" t="str">
        <x:v>CANOPY COLLECTIONS LTD</x:v>
      </x:c>
      <x:c r="V252" s="60" t="str">
        <x:v>99 KINGS ROAD, LONDON, UNITED KINGDOM, SW3 4PA</x:v>
      </x:c>
      <x:c r="W252" s="63"/>
      <x:c r="X252" s="65" t="n">
        <x:f>TODAY()</x:f>
        <x:v>46250</x:v>
      </x:c>
    </x:row>
    <x:row r="253">
      <x:c r="A253" s="59" t="str">
        <x:v>GARGA</x:v>
      </x:c>
      <x:c r="B253" s="60" t="str">
        <x:v>VIDUR</x:v>
      </x:c>
      <x:c r="C253" s="60" t="str">
        <x:v>CHETAN</x:v>
      </x:c>
      <x:c r="D253" s="61" t="n">
        <x:v>34421.5</x:v>
      </x:c>
      <x:c r="E253" s="62" t="n">
        <x:f>IF(OR(D253="",X253=""),"",IFERROR(DATEDIF(D253,X253,"y"),""))</x:f>
        <x:v>32</x:v>
      </x:c>
      <x:c r="F253" s="60"/>
      <x:c r="G253" s="63"/>
      <x:c r="H253" s="63"/>
      <x:c r="I253" s="61" t="n">
        <x:v>43344.5</x:v>
      </x:c>
      <x:c r="J253" s="64" t="n">
        <x:f>IF(OR(I253="",X253=""),"",IFERROR(DATEDIF(I253,X253,"m")/12,""))</x:f>
        <x:v>7.916666666666667</x:v>
      </x:c>
      <x:c r="K253" s="60" t="str">
        <x:v>53B LANCASTER GATE, LONDON, W2 3NA</x:v>
      </x:c>
      <x:c r="L253" s="60" t="str">
        <x:v> W2 3NA</x:v>
      </x:c>
      <x:c r="M253" s="60"/>
      <x:c r="N253" s="60" t="str">
        <x:v>W2 3NA</x:v>
      </x:c>
      <x:c r="O253" s="61" t="n">
        <x:v>41730.5</x:v>
      </x:c>
      <x:c r="P253" s="64" t="n">
        <x:f>IF(OR(O253="",I253=""),"",IFERROR(DATEDIF(O253,I253,"m")/12,""))</x:f>
        <x:v>4.416666666666667</x:v>
      </x:c>
      <x:c r="Q253" s="60" t="str">
        <x:v>48, HAMPSTEAD ROAD, LONDON, LONDON, NW1 2PY</x:v>
      </x:c>
      <x:c r="R253" s="61"/>
      <x:c r="S253" s="64" t="str">
        <x:f>IF(OR(R253="",X253=""),"",IFERROR(DATEDIF(R253,X253,"m")/12,""))</x:f>
      </x:c>
      <x:c r="T253" s="60"/>
      <x:c r="U253" s="60"/>
      <x:c r="V253" s="60"/>
      <x:c r="W253" s="63"/>
      <x:c r="X253" s="65" t="n">
        <x:f>TODAY()</x:f>
        <x:v>46250</x:v>
      </x:c>
    </x:row>
    <x:row r="254">
      <x:c r="A254" s="59" t="str">
        <x:v>GARRETT</x:v>
      </x:c>
      <x:c r="B254" s="60" t="str">
        <x:v>ANNA</x:v>
      </x:c>
      <x:c r="C254" s="60" t="str">
        <x:v>LOUISE</x:v>
      </x:c>
      <x:c r="D254" s="61" t="n">
        <x:v>32226.5</x:v>
      </x:c>
      <x:c r="E254" s="62" t="n">
        <x:f>IF(OR(D254="",X254=""),"",IFERROR(DATEDIF(D254,X254,"y"),""))</x:f>
        <x:v>38</x:v>
      </x:c>
      <x:c r="F254" s="60" t="str">
        <x:v>BESTWICK</x:v>
      </x:c>
      <x:c r="G254" s="63"/>
      <x:c r="H254" s="63"/>
      <x:c r="I254" s="61"/>
      <x:c r="J254" s="64" t="str">
        <x:f>IF(OR(I254="",X254=""),"",IFERROR(DATEDIF(I254,X254,"m")/12,""))</x:f>
      </x:c>
      <x:c r="K254" s="60" t="str">
        <x:v>FLAT 1, 376 NORTH END ROAD, LONDON, SW6 1LY</x:v>
      </x:c>
      <x:c r="L254" s="60" t="str">
        <x:v> SW6 1LY</x:v>
      </x:c>
      <x:c r="M254" s="60"/>
      <x:c r="N254" s="60" t="str">
        <x:v>SW6 1LY</x:v>
      </x:c>
      <x:c r="O254" s="61"/>
      <x:c r="P254" s="64" t="str">
        <x:f>IF(OR(O254="",I254=""),"",IFERROR(DATEDIF(O254,I254,"m")/12,""))</x:f>
      </x:c>
      <x:c r="Q254" s="60"/>
      <x:c r="R254" s="61" t="n">
        <x:v>43770.5</x:v>
      </x:c>
      <x:c r="S254" s="64" t="n">
        <x:f>IF(OR(R254="",X254=""),"",IFERROR(DATEDIF(R254,X254,"m")/12,""))</x:f>
        <x:v>6.75</x:v>
      </x:c>
      <x:c r="T254" s="60" t="str">
        <x:v>DIRECTOR</x:v>
      </x:c>
      <x:c r="U254" s="60" t="str">
        <x:v>TEENOSO CONSULTING LIMITED</x:v>
      </x:c>
      <x:c r="V254" s="60"/>
      <x:c r="W254" s="63"/>
      <x:c r="X254" s="65" t="n">
        <x:f>TODAY()</x:f>
        <x:v>46250</x:v>
      </x:c>
    </x:row>
    <x:row r="255">
      <x:c r="A255" s="59" t="str">
        <x:v>GAVIOLA</x:v>
      </x:c>
      <x:c r="B255" s="60" t="str">
        <x:v>GONZALO</x:v>
      </x:c>
      <x:c r="C255" s="60" t="str">
        <x:v>ERNESTO</x:v>
      </x:c>
      <x:c r="D255" s="61" t="n">
        <x:v>29326.5</x:v>
      </x:c>
      <x:c r="E255" s="62" t="n">
        <x:f>IF(OR(D255="",X255=""),"",IFERROR(DATEDIF(D255,X255,"y"),""))</x:f>
        <x:v>46</x:v>
      </x:c>
      <x:c r="F255" s="60" t="str">
        <x:v>VASQUEZ</x:v>
      </x:c>
      <x:c r="G255" s="63"/>
      <x:c r="H255" s="63"/>
      <x:c r="I255" s="61"/>
      <x:c r="J255" s="64" t="str">
        <x:f>IF(OR(I255="",X255=""),"",IFERROR(DATEDIF(I255,X255,"m")/12,""))</x:f>
      </x:c>
      <x:c r="K255" s="60" t="str">
        <x:v>FLAT D, 1 QUEENS GATE PLACE, LONDON, SW7 5NS</x:v>
      </x:c>
      <x:c r="L255" s="60" t="str">
        <x:v> SW7 5NS</x:v>
      </x:c>
      <x:c r="M255" s="60"/>
      <x:c r="N255" s="60" t="str">
        <x:v>SW7 5NS</x:v>
      </x:c>
      <x:c r="O255" s="61"/>
      <x:c r="P255" s="64" t="str">
        <x:f>IF(OR(O255="",I255=""),"",IFERROR(DATEDIF(O255,I255,"m")/12,""))</x:f>
      </x:c>
      <x:c r="Q255" s="60"/>
      <x:c r="R255" s="61" t="n">
        <x:v>38018.5</x:v>
      </x:c>
      <x:c r="S255" s="64" t="n">
        <x:f>IF(OR(R255="",X255=""),"",IFERROR(DATEDIF(R255,X255,"m")/12,""))</x:f>
        <x:v>22.5</x:v>
      </x:c>
      <x:c r="T255" s="60" t="str">
        <x:v>BRAND MARKETING EXPERT</x:v>
      </x:c>
      <x:c r="U255" s="60" t="str">
        <x:v>BRITISH AMERICAN TOBACCO</x:v>
      </x:c>
      <x:c r="V255" s="60" t="str">
        <x:v>GLEBE HOUSE, 4 TEMPLE PLACE, LONDON, WC2R 2PG</x:v>
      </x:c>
      <x:c r="W255" s="63"/>
      <x:c r="X255" s="65" t="n">
        <x:f>TODAY()</x:f>
        <x:v>46250</x:v>
      </x:c>
    </x:row>
    <x:row r="256">
      <x:c r="A256" s="59" t="str">
        <x:v>GAWANKAR</x:v>
      </x:c>
      <x:c r="B256" s="60" t="str">
        <x:v>ROHAN</x:v>
      </x:c>
      <x:c r="C256" s="60"/>
      <x:c r="D256" s="61" t="n">
        <x:v>33189.5</x:v>
      </x:c>
      <x:c r="E256" s="62" t="n">
        <x:f>IF(OR(D256="",X256=""),"",IFERROR(DATEDIF(D256,X256,"y"),""))</x:f>
        <x:v>35</x:v>
      </x:c>
      <x:c r="F256" s="60"/>
      <x:c r="G256" s="63"/>
      <x:c r="H256" s="63"/>
      <x:c r="I256" s="61" t="n">
        <x:v>42887.5</x:v>
      </x:c>
      <x:c r="J256" s="64" t="n">
        <x:f>IF(OR(I256="",X256=""),"",IFERROR(DATEDIF(I256,X256,"m")/12,""))</x:f>
        <x:v>9.166666666666666</x:v>
      </x:c>
      <x:c r="K256" s="60" t="str">
        <x:v>20 SINCLAIR GARDENS, LONDON,W14 0AT</x:v>
      </x:c>
      <x:c r="L256" s="60" t="str">
        <x:v>W14 0AT</x:v>
      </x:c>
      <x:c r="M256" s="60"/>
      <x:c r="N256" s="60" t="str">
        <x:v>W14 0AT</x:v>
      </x:c>
      <x:c r="O256" s="61"/>
      <x:c r="P256" s="64" t="str">
        <x:f>IF(OR(O256="",I256=""),"",IFERROR(DATEDIF(O256,I256,"m")/12,""))</x:f>
      </x:c>
      <x:c r="Q256" s="60"/>
      <x:c r="R256" s="61" t="n">
        <x:v>41671.5</x:v>
      </x:c>
      <x:c r="S256" s="64" t="n">
        <x:f>IF(OR(R256="",X256=""),"",IFERROR(DATEDIF(R256,X256,"m")/12,""))</x:f>
        <x:v>12.5</x:v>
      </x:c>
      <x:c r="T256" s="60"/>
      <x:c r="U256" s="60"/>
      <x:c r="V256" s="60"/>
      <x:c r="W256" s="63"/>
      <x:c r="X256" s="65" t="n">
        <x:f>TODAY()</x:f>
        <x:v>46250</x:v>
      </x:c>
    </x:row>
    <x:row r="257">
      <x:c r="A257" s="59" t="str">
        <x:v>GENDRE</x:v>
      </x:c>
      <x:c r="B257" s="60" t="str">
        <x:v>KEVIN</x:v>
      </x:c>
      <x:c r="C257" s="60" t="str">
        <x:v>GILBERT JACQUES</x:v>
      </x:c>
      <x:c r="D257" s="61"/>
      <x:c r="E257" s="62" t="str">
        <x:f>IF(OR(D257="",X257=""),"",IFERROR(DATEDIF(D257,X257,"y"),""))</x:f>
      </x:c>
      <x:c r="F257" s="60"/>
      <x:c r="G257" s="63"/>
      <x:c r="H257" s="63" t="str">
        <x:v>SY292089B</x:v>
      </x:c>
      <x:c r="I257" s="61"/>
      <x:c r="J257" s="64" t="str">
        <x:f>IF(OR(I257="",X257=""),"",IFERROR(DATEDIF(I257,X257,"m")/12,""))</x:f>
      </x:c>
      <x:c r="K257" s="60" t="str">
        <x:v>46 PENYWERN ROAD, LONDON, SW5 9SX</x:v>
      </x:c>
      <x:c r="L257" s="60" t="str">
        <x:v> SW5 9SX</x:v>
      </x:c>
      <x:c r="M257" s="60"/>
      <x:c r="N257" s="60" t="str">
        <x:v>SW5 9SX</x:v>
      </x:c>
      <x:c r="O257" s="61"/>
      <x:c r="P257" s="64" t="str">
        <x:f>IF(OR(O257="",I257=""),"",IFERROR(DATEDIF(O257,I257,"m")/12,""))</x:f>
      </x:c>
      <x:c r="Q257" s="60"/>
      <x:c r="R257" s="61"/>
      <x:c r="S257" s="64" t="str">
        <x:f>IF(OR(R257="",X257=""),"",IFERROR(DATEDIF(R257,X257,"m")/12,""))</x:f>
      </x:c>
      <x:c r="T257" s="60"/>
      <x:c r="U257" s="60" t="str">
        <x:v>MONTREAL ASSOCIATES (SYSTEMS) LTD</x:v>
      </x:c>
      <x:c r="V257" s="60"/>
      <x:c r="W257" s="63"/>
      <x:c r="X257" s="65" t="n">
        <x:f>TODAY()</x:f>
        <x:v>46250</x:v>
      </x:c>
    </x:row>
    <x:row r="258">
      <x:c r="A258" s="59" t="str">
        <x:v>GHUSAYNI</x:v>
      </x:c>
      <x:c r="B258" s="60" t="str">
        <x:v>ZIAD</x:v>
      </x:c>
      <x:c r="C258" s="60"/>
      <x:c r="D258" s="61" t="n">
        <x:v>30704.5</x:v>
      </x:c>
      <x:c r="E258" s="62" t="n">
        <x:f>IF(OR(D258="",X258=""),"",IFERROR(DATEDIF(D258,X258,"y"),""))</x:f>
        <x:v>42</x:v>
      </x:c>
      <x:c r="F258" s="60"/>
      <x:c r="G258" s="63"/>
      <x:c r="H258" s="63"/>
      <x:c r="I258" s="61"/>
      <x:c r="J258" s="64" t="str">
        <x:f>IF(OR(I258="",X258=""),"",IFERROR(DATEDIF(I258,X258,"m")/12,""))</x:f>
      </x:c>
      <x:c r="K258" s="60" t="str">
        <x:v>FLAT 3, 302A OLD BROMPTON ROAD, LONDON, SW5 9JF</x:v>
      </x:c>
      <x:c r="L258" s="60" t="str">
        <x:v> SW5 9JF</x:v>
      </x:c>
      <x:c r="M258" s="60"/>
      <x:c r="N258" s="60" t="str">
        <x:v>SW5 9JF</x:v>
      </x:c>
      <x:c r="O258" s="61"/>
      <x:c r="P258" s="64" t="str">
        <x:f>IF(OR(O258="",I258=""),"",IFERROR(DATEDIF(O258,I258,"m")/12,""))</x:f>
      </x:c>
      <x:c r="Q258" s="60"/>
      <x:c r="R258" s="61" t="n">
        <x:v>40452.5</x:v>
      </x:c>
      <x:c r="S258" s="64" t="n">
        <x:f>IF(OR(R258="",X258=""),"",IFERROR(DATEDIF(R258,X258,"m")/12,""))</x:f>
        <x:v>15.833333333333334</x:v>
      </x:c>
      <x:c r="T258" s="60" t="str">
        <x:v>CHIEF EXECUTIVE OFFICER</x:v>
      </x:c>
      <x:c r="U258" s="60" t="str">
        <x:v>MITSUI BUSSAN COMMODITIES LTD</x:v>
      </x:c>
      <x:c r="V258" s="60" t="str">
        <x:v>6TH FLOOR, 1 ST MARTIN'S LE GRAND, LONDON, EC1A 4BB</x:v>
      </x:c>
      <x:c r="W258" s="63"/>
      <x:c r="X258" s="65" t="n">
        <x:f>TODAY()</x:f>
        <x:v>46250</x:v>
      </x:c>
    </x:row>
    <x:row r="259">
      <x:c r="A259" s="59" t="str">
        <x:v>GIELINK</x:v>
      </x:c>
      <x:c r="B259" s="60" t="str">
        <x:v>RICHARD</x:v>
      </x:c>
      <x:c r="C259" s="60"/>
      <x:c r="D259" s="61" t="n">
        <x:v>28473.5</x:v>
      </x:c>
      <x:c r="E259" s="62" t="n">
        <x:f>IF(OR(D259="",X259=""),"",IFERROR(DATEDIF(D259,X259,"y"),""))</x:f>
        <x:v>48</x:v>
      </x:c>
      <x:c r="F259" s="60"/>
      <x:c r="G259" s="63"/>
      <x:c r="H259" s="63"/>
      <x:c r="I259" s="61"/>
      <x:c r="J259" s="64" t="str">
        <x:f>IF(OR(I259="",X259=""),"",IFERROR(DATEDIF(I259,X259,"m")/12,""))</x:f>
      </x:c>
      <x:c r="K259" s="60" t="str">
        <x:v>FLAT 73, 55 CLEVELAND SQUARE, LONDON, H2 6DB</x:v>
      </x:c>
      <x:c r="L259" s="60" t="str">
        <x:v> H2 6DB</x:v>
      </x:c>
      <x:c r="M259" s="60"/>
      <x:c r="N259" s="60" t="str">
        <x:v>H2 6DB</x:v>
      </x:c>
      <x:c r="O259" s="61"/>
      <x:c r="P259" s="64" t="str">
        <x:f>IF(OR(O259="",I259=""),"",IFERROR(DATEDIF(O259,I259,"m")/12,""))</x:f>
      </x:c>
      <x:c r="Q259" s="60"/>
      <x:c r="R259" s="61"/>
      <x:c r="S259" s="64" t="str">
        <x:f>IF(OR(R259="",X259=""),"",IFERROR(DATEDIF(R259,X259,"m")/12,""))</x:f>
      </x:c>
      <x:c r="T259" s="60"/>
      <x:c r="U259" s="60"/>
      <x:c r="V259" s="60"/>
      <x:c r="W259" s="63"/>
      <x:c r="X259" s="65" t="n">
        <x:f>TODAY()</x:f>
        <x:v>46250</x:v>
      </x:c>
    </x:row>
    <x:row r="260">
      <x:c r="A260" s="59" t="str">
        <x:v>GINOSSAR</x:v>
      </x:c>
      <x:c r="B260" s="60" t="str">
        <x:v>GIDEON</x:v>
      </x:c>
      <x:c r="C260" s="60" t="str">
        <x:v>MORDECHAI</x:v>
      </x:c>
      <x:c r="D260" s="61" t="n">
        <x:v>19968.5</x:v>
      </x:c>
      <x:c r="E260" s="62" t="n">
        <x:f>IF(OR(D260="",X260=""),"",IFERROR(DATEDIF(D260,X260,"y"),""))</x:f>
        <x:v>71</x:v>
      </x:c>
      <x:c r="F260" s="60"/>
      <x:c r="G260" s="63" t="str">
        <x:v>07867186429</x:v>
      </x:c>
      <x:c r="H260" s="63"/>
      <x:c r="I260" s="61" t="n">
        <x:v>43009.5</x:v>
      </x:c>
      <x:c r="J260" s="64" t="n">
        <x:f>IF(OR(I260="",X260=""),"",IFERROR(DATEDIF(I260,X260,"m")/12,""))</x:f>
        <x:v>8.833333333333334</x:v>
      </x:c>
      <x:c r="K260" s="60" t="str">
        <x:v>FLAT 6, 14 ACOL ROAD, LONDON, NW6 3AH</x:v>
      </x:c>
      <x:c r="L260" s="60" t="str">
        <x:v> NW6 3AH</x:v>
      </x:c>
      <x:c r="M260" s="60"/>
      <x:c r="N260" s="60" t="str">
        <x:v>NW6 3AH</x:v>
      </x:c>
      <x:c r="O260" s="61"/>
      <x:c r="P260" s="64" t="str">
        <x:f>IF(OR(O260="",I260=""),"",IFERROR(DATEDIF(O260,I260,"m")/12,""))</x:f>
      </x:c>
      <x:c r="Q260" s="60"/>
      <x:c r="R260" s="61"/>
      <x:c r="S260" s="64" t="str">
        <x:f>IF(OR(R260="",X260=""),"",IFERROR(DATEDIF(R260,X260,"m")/12,""))</x:f>
      </x:c>
      <x:c r="T260" s="60"/>
      <x:c r="U260" s="60"/>
      <x:c r="V260" s="60"/>
      <x:c r="W260" s="63"/>
      <x:c r="X260" s="65" t="n">
        <x:f>TODAY()</x:f>
        <x:v>46250</x:v>
      </x:c>
    </x:row>
    <x:row r="261">
      <x:c r="A261" s="59" t="str">
        <x:v>GINOSSAR</x:v>
      </x:c>
      <x:c r="B261" s="60" t="str">
        <x:v>EDNA</x:v>
      </x:c>
      <x:c r="C261" s="60"/>
      <x:c r="D261" s="61" t="n">
        <x:v>21561.5</x:v>
      </x:c>
      <x:c r="E261" s="62" t="n">
        <x:f>IF(OR(D261="",X261=""),"",IFERROR(DATEDIF(D261,X261,"y"),""))</x:f>
        <x:v>67</x:v>
      </x:c>
      <x:c r="F261" s="60"/>
      <x:c r="G261" s="63"/>
      <x:c r="H261" s="63"/>
      <x:c r="I261" s="61" t="n">
        <x:v>42979.5</x:v>
      </x:c>
      <x:c r="J261" s="64" t="n">
        <x:f>IF(OR(I261="",X261=""),"",IFERROR(DATEDIF(I261,X261,"m")/12,""))</x:f>
        <x:v>8.916666666666666</x:v>
      </x:c>
      <x:c r="K261" s="60"/>
      <x:c r="L261" s="60"/>
      <x:c r="M261" s="60"/>
      <x:c r="N261" s="60"/>
      <x:c r="O261" s="61"/>
      <x:c r="P261" s="64" t="str">
        <x:f>IF(OR(O261="",I261=""),"",IFERROR(DATEDIF(O261,I261,"m")/12,""))</x:f>
      </x:c>
      <x:c r="Q261" s="60"/>
      <x:c r="R261" s="61"/>
      <x:c r="S261" s="64" t="str">
        <x:f>IF(OR(R261="",X261=""),"",IFERROR(DATEDIF(R261,X261,"m")/12,""))</x:f>
      </x:c>
      <x:c r="T261" s="60"/>
      <x:c r="U261" s="60"/>
      <x:c r="V261" s="60"/>
      <x:c r="W261" s="63"/>
      <x:c r="X261" s="65" t="n">
        <x:f>TODAY()</x:f>
        <x:v>46250</x:v>
      </x:c>
    </x:row>
    <x:row r="262">
      <x:c r="A262" s="59" t="str">
        <x:v>GINOSSAR</x:v>
      </x:c>
      <x:c r="B262" s="60" t="str">
        <x:v>ROY</x:v>
      </x:c>
      <x:c r="C262" s="60"/>
      <x:c r="D262" s="61" t="n">
        <x:v>31625.5</x:v>
      </x:c>
      <x:c r="E262" s="62" t="n">
        <x:f>IF(OR(D262="",X262=""),"",IFERROR(DATEDIF(D262,X262,"y"),""))</x:f>
        <x:v>40</x:v>
      </x:c>
      <x:c r="F262" s="60"/>
      <x:c r="G262" s="63"/>
      <x:c r="H262" s="63"/>
      <x:c r="I262" s="61"/>
      <x:c r="J262" s="64" t="str">
        <x:f>IF(OR(I262="",X262=""),"",IFERROR(DATEDIF(I262,X262,"m")/12,""))</x:f>
      </x:c>
      <x:c r="K262" s="60"/>
      <x:c r="L262" s="60"/>
      <x:c r="M262" s="60"/>
      <x:c r="N262" s="60"/>
      <x:c r="O262" s="61"/>
      <x:c r="P262" s="64" t="str">
        <x:f>IF(OR(O262="",I262=""),"",IFERROR(DATEDIF(O262,I262,"m")/12,""))</x:f>
      </x:c>
      <x:c r="Q262" s="60"/>
      <x:c r="R262" s="61"/>
      <x:c r="S262" s="64" t="str">
        <x:f>IF(OR(R262="",X262=""),"",IFERROR(DATEDIF(R262,X262,"m")/12,""))</x:f>
      </x:c>
      <x:c r="T262" s="60"/>
      <x:c r="U262" s="60"/>
      <x:c r="V262" s="60"/>
      <x:c r="W262" s="63"/>
      <x:c r="X262" s="65" t="n">
        <x:f>TODAY()</x:f>
        <x:v>46250</x:v>
      </x:c>
    </x:row>
    <x:row r="263">
      <x:c r="A263" s="59" t="str">
        <x:v>GOBBERS</x:v>
      </x:c>
      <x:c r="B263" s="60" t="str">
        <x:v>MAXIM</x:v>
      </x:c>
      <x:c r="C263" s="60"/>
      <x:c r="D263" s="61" t="n">
        <x:v>33441.5</x:v>
      </x:c>
      <x:c r="E263" s="62" t="n">
        <x:f>IF(OR(D263="",X263=""),"",IFERROR(DATEDIF(D263,X263,"y"),""))</x:f>
        <x:v>35</x:v>
      </x:c>
      <x:c r="F263" s="60"/>
      <x:c r="G263" s="63"/>
      <x:c r="H263" s="63"/>
      <x:c r="I263" s="61"/>
      <x:c r="J263" s="64" t="str">
        <x:f>IF(OR(I263="",X263=""),"",IFERROR(DATEDIF(I263,X263,"m")/12,""))</x:f>
      </x:c>
      <x:c r="K263" s="60" t="str">
        <x:v>39 DRAYCOTT PLACE, LONDON, SW3 2SH</x:v>
      </x:c>
      <x:c r="L263" s="60" t="str">
        <x:v> SW3 2SH</x:v>
      </x:c>
      <x:c r="M263" s="60"/>
      <x:c r="N263" s="60" t="str">
        <x:v>SW3 2SH</x:v>
      </x:c>
      <x:c r="O263" s="61"/>
      <x:c r="P263" s="64" t="str">
        <x:f>IF(OR(O263="",I263=""),"",IFERROR(DATEDIF(O263,I263,"m")/12,""))</x:f>
      </x:c>
      <x:c r="Q263" s="60"/>
      <x:c r="R263" s="61"/>
      <x:c r="S263" s="64" t="str">
        <x:f>IF(OR(R263="",X263=""),"",IFERROR(DATEDIF(R263,X263,"m")/12,""))</x:f>
      </x:c>
      <x:c r="T263" s="60" t="str">
        <x:v>INVESTMENT MANAGER</x:v>
      </x:c>
      <x:c r="U263" s="60" t="str">
        <x:v>G SQUARE CAPITAL</x:v>
      </x:c>
      <x:c r="V263" s="60" t="str">
        <x:v>5TH FLOOR, 24 SAVILE ROW, LONDON W1S 2ES</x:v>
      </x:c>
      <x:c r="W263" s="63" t="str">
        <x:v>2037570160</x:v>
      </x:c>
      <x:c r="X263" s="65" t="n">
        <x:f>TODAY()</x:f>
        <x:v>46250</x:v>
      </x:c>
    </x:row>
    <x:row r="264">
      <x:c r="A264" s="59" t="str">
        <x:v>GOBBERS</x:v>
      </x:c>
      <x:c r="B264" s="60" t="str">
        <x:v>M</x:v>
      </x:c>
      <x:c r="C264" s="60"/>
      <x:c r="D264" s="61"/>
      <x:c r="E264" s="62" t="str">
        <x:f>IF(OR(D264="",X264=""),"",IFERROR(DATEDIF(D264,X264,"y"),""))</x:f>
      </x:c>
      <x:c r="F264" s="60"/>
      <x:c r="G264" s="63"/>
      <x:c r="H264" s="63"/>
      <x:c r="I264" s="61"/>
      <x:c r="J264" s="64" t="str">
        <x:f>IF(OR(I264="",X264=""),"",IFERROR(DATEDIF(I264,X264,"m")/12,""))</x:f>
      </x:c>
      <x:c r="K264" s="60" t="str">
        <x:v>37-39 DRAYCOTT PLACE, LONDON, SW3 2SH</x:v>
      </x:c>
      <x:c r="L264" s="60" t="str">
        <x:v> SW3 2SH</x:v>
      </x:c>
      <x:c r="M264" s="60"/>
      <x:c r="N264" s="60" t="str">
        <x:v>SW3 2SH</x:v>
      </x:c>
      <x:c r="O264" s="61"/>
      <x:c r="P264" s="64" t="str">
        <x:f>IF(OR(O264="",I264=""),"",IFERROR(DATEDIF(O264,I264,"m")/12,""))</x:f>
      </x:c>
      <x:c r="Q264" s="60"/>
      <x:c r="R264" s="61"/>
      <x:c r="S264" s="64" t="str">
        <x:f>IF(OR(R264="",X264=""),"",IFERROR(DATEDIF(R264,X264,"m")/12,""))</x:f>
      </x:c>
      <x:c r="T264" s="60"/>
      <x:c r="U264" s="60"/>
      <x:c r="V264" s="60"/>
      <x:c r="W264" s="63"/>
      <x:c r="X264" s="65" t="n">
        <x:f>TODAY()</x:f>
        <x:v>46250</x:v>
      </x:c>
    </x:row>
    <x:row r="265">
      <x:c r="A265" s="59" t="str">
        <x:v>GOETZ</x:v>
      </x:c>
      <x:c r="B265" s="60" t="str">
        <x:v>STEFAN</x:v>
      </x:c>
      <x:c r="C265" s="60" t="str">
        <x:v>MARTIN</x:v>
      </x:c>
      <x:c r="D265" s="61" t="n">
        <x:v>23585.5</x:v>
      </x:c>
      <x:c r="E265" s="62" t="n">
        <x:f>IF(OR(D265="",X265=""),"",IFERROR(DATEDIF(D265,X265,"y"),""))</x:f>
        <x:v>62</x:v>
      </x:c>
      <x:c r="F265" s="60"/>
      <x:c r="G265" s="63" t="str">
        <x:v>07511394043</x:v>
      </x:c>
      <x:c r="H265" s="63"/>
      <x:c r="I265" s="61" t="n">
        <x:v>41792.5</x:v>
      </x:c>
      <x:c r="J265" s="64" t="n">
        <x:f>IF(OR(I265="",X265=""),"",IFERROR(DATEDIF(I265,X265,"m")/12,""))</x:f>
        <x:v>12.166666666666666</x:v>
      </x:c>
      <x:c r="K265" s="60" t="str">
        <x:v>FLAT 10, 21-23 DRAYCOTT PLACE, LONDON, SW3 2SQ</x:v>
      </x:c>
      <x:c r="L265" s="60" t="str">
        <x:v> SW3 2SQ</x:v>
      </x:c>
      <x:c r="M265" s="60"/>
      <x:c r="N265" s="60" t="str">
        <x:v>SW3 2SQ</x:v>
      </x:c>
      <x:c r="O265" s="61"/>
      <x:c r="P265" s="64" t="str">
        <x:f>IF(OR(O265="",I265=""),"",IFERROR(DATEDIF(O265,I265,"m")/12,""))</x:f>
      </x:c>
      <x:c r="Q265" s="60"/>
      <x:c r="R265" s="61" t="n">
        <x:v>39264.5</x:v>
      </x:c>
      <x:c r="S265" s="64" t="n">
        <x:f>IF(OR(R265="",X265=""),"",IFERROR(DATEDIF(R265,X265,"m")/12,""))</x:f>
        <x:v>19.083333333333332</x:v>
      </x:c>
      <x:c r="T265" s="60" t="str">
        <x:v>PARTNER</x:v>
      </x:c>
      <x:c r="U265" s="60" t="str">
        <x:v>HELLMAN &amp; FRIEDMAN</x:v>
      </x:c>
      <x:c r="V265" s="60" t="str">
        <x:v>THE BRUNEL BUILDING, 2 CANALSIDE WALK, LONDON, W2 1DG</x:v>
      </x:c>
      <x:c r="W265" s="63"/>
      <x:c r="X265" s="65" t="n">
        <x:f>TODAY()</x:f>
        <x:v>46250</x:v>
      </x:c>
    </x:row>
    <x:row r="266">
      <x:c r="A266" s="59" t="str">
        <x:v>GOFFAUX</x:v>
      </x:c>
      <x:c r="B266" s="60" t="str">
        <x:v>CAMILLE</x:v>
      </x:c>
      <x:c r="C266" s="60" t="str">
        <x:v>CATHERINE</x:v>
      </x:c>
      <x:c r="D266" s="61" t="n">
        <x:v>32477.5</x:v>
      </x:c>
      <x:c r="E266" s="62" t="n">
        <x:f>IF(OR(D266="",X266=""),"",IFERROR(DATEDIF(D266,X266,"y"),""))</x:f>
        <x:v>37</x:v>
      </x:c>
      <x:c r="F266" s="60"/>
      <x:c r="G266" s="63"/>
      <x:c r="H266" s="63"/>
      <x:c r="I266" s="61"/>
      <x:c r="J266" s="64" t="str">
        <x:f>IF(OR(I266="",X266=""),"",IFERROR(DATEDIF(I266,X266,"m")/12,""))</x:f>
      </x:c>
      <x:c r="K266" s="60"/>
      <x:c r="L266" s="60"/>
      <x:c r="M266" s="60"/>
      <x:c r="N266" s="60"/>
      <x:c r="O266" s="61"/>
      <x:c r="P266" s="64" t="str">
        <x:f>IF(OR(O266="",I266=""),"",IFERROR(DATEDIF(O266,I266,"m")/12,""))</x:f>
      </x:c>
      <x:c r="Q266" s="60"/>
      <x:c r="R266" s="61"/>
      <x:c r="S266" s="64" t="str">
        <x:f>IF(OR(R266="",X266=""),"",IFERROR(DATEDIF(R266,X266,"m")/12,""))</x:f>
      </x:c>
      <x:c r="T266" s="60"/>
      <x:c r="U266" s="60"/>
      <x:c r="V266" s="60"/>
      <x:c r="W266" s="63"/>
      <x:c r="X266" s="65" t="n">
        <x:f>TODAY()</x:f>
        <x:v>46250</x:v>
      </x:c>
    </x:row>
    <x:row r="267">
      <x:c r="A267" s="59" t="str">
        <x:v>GOJKOVICH</x:v>
      </x:c>
      <x:c r="B267" s="60" t="str">
        <x:v>MATTHEW</x:v>
      </x:c>
      <x:c r="C267" s="60" t="str">
        <x:v>WALTER</x:v>
      </x:c>
      <x:c r="D267" s="61" t="n">
        <x:v>31307.5</x:v>
      </x:c>
      <x:c r="E267" s="62" t="n">
        <x:f>IF(OR(D267="",X267=""),"",IFERROR(DATEDIF(D267,X267,"y"),""))</x:f>
        <x:v>40</x:v>
      </x:c>
      <x:c r="F267" s="60"/>
      <x:c r="G267" s="63" t="str">
        <x:v>07724645553</x:v>
      </x:c>
      <x:c r="H267" s="63"/>
      <x:c r="I267" s="61"/>
      <x:c r="J267" s="64" t="str">
        <x:f>IF(OR(I267="",X267=""),"",IFERROR(DATEDIF(I267,X267,"m")/12,""))</x:f>
      </x:c>
      <x:c r="K267" s="60" t="str">
        <x:v>6 NEVERN SQUARE, LONDON, SWS 9NN</x:v>
      </x:c>
      <x:c r="L267" s="60" t="str">
        <x:v> SWS 9NN</x:v>
      </x:c>
      <x:c r="M267" s="60"/>
      <x:c r="N267" s="60" t="str">
        <x:v>SWS 9NN</x:v>
      </x:c>
      <x:c r="O267" s="61"/>
      <x:c r="P267" s="64" t="str">
        <x:f>IF(OR(O267="",I267=""),"",IFERROR(DATEDIF(O267,I267,"m")/12,""))</x:f>
      </x:c>
      <x:c r="Q267" s="60"/>
      <x:c r="R267" s="61"/>
      <x:c r="S267" s="64" t="str">
        <x:f>IF(OR(R267="",X267=""),"",IFERROR(DATEDIF(R267,X267,"m")/12,""))</x:f>
      </x:c>
      <x:c r="T267" s="60"/>
      <x:c r="U267" s="60"/>
      <x:c r="V267" s="60"/>
      <x:c r="W267" s="63"/>
      <x:c r="X267" s="65" t="n">
        <x:f>TODAY()</x:f>
        <x:v>46250</x:v>
      </x:c>
    </x:row>
    <x:row r="268">
      <x:c r="A268" s="59" t="str">
        <x:v>GOLBAN</x:v>
      </x:c>
      <x:c r="B268" s="60" t="str">
        <x:v>NATHAN</x:v>
      </x:c>
      <x:c r="C268" s="60" t="str">
        <x:v>DANIEL</x:v>
      </x:c>
      <x:c r="D268" s="61" t="n">
        <x:v>30947.5</x:v>
      </x:c>
      <x:c r="E268" s="62" t="n">
        <x:f>IF(OR(D268="",X268=""),"",IFERROR(DATEDIF(D268,X268,"y"),""))</x:f>
        <x:v>41</x:v>
      </x:c>
      <x:c r="F268" s="60"/>
      <x:c r="G268" s="63"/>
      <x:c r="H268" s="63"/>
      <x:c r="I268" s="61"/>
      <x:c r="J268" s="64" t="str">
        <x:f>IF(OR(I268="",X268=""),"",IFERROR(DATEDIF(I268,X268,"m")/12,""))</x:f>
      </x:c>
      <x:c r="K268" s="60"/>
      <x:c r="L268" s="60"/>
      <x:c r="M268" s="60"/>
      <x:c r="N268" s="60"/>
      <x:c r="O268" s="61"/>
      <x:c r="P268" s="64" t="str">
        <x:f>IF(OR(O268="",I268=""),"",IFERROR(DATEDIF(O268,I268,"m")/12,""))</x:f>
      </x:c>
      <x:c r="Q268" s="60"/>
      <x:c r="R268" s="61"/>
      <x:c r="S268" s="64" t="str">
        <x:f>IF(OR(R268="",X268=""),"",IFERROR(DATEDIF(R268,X268,"m")/12,""))</x:f>
      </x:c>
      <x:c r="T268" s="60"/>
      <x:c r="U268" s="60"/>
      <x:c r="V268" s="60"/>
      <x:c r="W268" s="63"/>
      <x:c r="X268" s="65" t="n">
        <x:f>TODAY()</x:f>
        <x:v>46250</x:v>
      </x:c>
    </x:row>
    <x:row r="269">
      <x:c r="A269" s="59" t="str">
        <x:v>GOLDIN</x:v>
      </x:c>
      <x:c r="B269" s="60" t="str">
        <x:v>SIGNE</x:v>
      </x:c>
      <x:c r="C269" s="60" t="str">
        <x:v>CHRISTPHERSEN</x:v>
      </x:c>
      <x:c r="D269" s="61" t="n">
        <x:v>26383.5</x:v>
      </x:c>
      <x:c r="E269" s="62" t="n">
        <x:f>IF(OR(D269="",X269=""),"",IFERROR(DATEDIF(D269,X269,"y"),""))</x:f>
        <x:v>54</x:v>
      </x:c>
      <x:c r="F269" s="60"/>
      <x:c r="G269" s="63"/>
      <x:c r="H269" s="63"/>
      <x:c r="I269" s="61"/>
      <x:c r="J269" s="64" t="str">
        <x:f>IF(OR(I269="",X269=""),"",IFERROR(DATEDIF(I269,X269,"m")/12,""))</x:f>
      </x:c>
      <x:c r="K269" s="60" t="str">
        <x:v>FLAT E, 1 QUEENS GATE PLACE, LONDON, SW7 5NS</x:v>
      </x:c>
      <x:c r="L269" s="60" t="str">
        <x:v> SW7 5NS</x:v>
      </x:c>
      <x:c r="M269" s="60"/>
      <x:c r="N269" s="60" t="str">
        <x:v>SW7 5NS</x:v>
      </x:c>
      <x:c r="O269" s="61"/>
      <x:c r="P269" s="64" t="str">
        <x:f>IF(OR(O269="",I269=""),"",IFERROR(DATEDIF(O269,I269,"m")/12,""))</x:f>
      </x:c>
      <x:c r="Q269" s="60" t="str">
        <x:v>12 PRIORY MANSIONS, 90 DRAYTON GARDENS, LONDON, SW10 ORG</x:v>
      </x:c>
      <x:c r="R269" s="61"/>
      <x:c r="S269" s="64" t="str">
        <x:f>IF(OR(R269="",X269=""),"",IFERROR(DATEDIF(R269,X269,"m")/12,""))</x:f>
      </x:c>
      <x:c r="T269" s="60"/>
      <x:c r="U269" s="60"/>
      <x:c r="V269" s="60"/>
      <x:c r="W269" s="63"/>
      <x:c r="X269" s="65" t="n">
        <x:f>TODAY()</x:f>
        <x:v>46250</x:v>
      </x:c>
    </x:row>
    <x:row r="270">
      <x:c r="A270" s="59" t="str">
        <x:v>GOOD</x:v>
      </x:c>
      <x:c r="B270" s="60" t="str">
        <x:v>JEREMY</x:v>
      </x:c>
      <x:c r="C270" s="60" t="str">
        <x:v>ANDREW</x:v>
      </x:c>
      <x:c r="D270" s="61" t="n">
        <x:v>15055.5</x:v>
      </x:c>
      <x:c r="E270" s="62" t="n">
        <x:f>IF(OR(D270="",X270=""),"",IFERROR(DATEDIF(D270,X270,"y"),""))</x:f>
        <x:v>85</x:v>
      </x:c>
      <x:c r="F270" s="60" t="str">
        <x:v>SCOTT</x:v>
      </x:c>
      <x:c r="G270" s="63"/>
      <x:c r="H270" s="63"/>
      <x:c r="I270" s="61" t="n">
        <x:v>39692.5</x:v>
      </x:c>
      <x:c r="J270" s="64" t="n">
        <x:f>IF(OR(I270="",X270=""),"",IFERROR(DATEDIF(I270,X270,"m")/12,""))</x:f>
        <x:v>17.916666666666668</x:v>
      </x:c>
      <x:c r="K270" s="60" t="str">
        <x:v>72 LEXHAM GARDENS, LONDOIN, W8 5JB</x:v>
      </x:c>
      <x:c r="L270" s="60"/>
      <x:c r="M270" s="60"/>
      <x:c r="N270" s="60"/>
      <x:c r="O270" s="61" t="n">
        <x:v>37773.5</x:v>
      </x:c>
      <x:c r="P270" s="64" t="n">
        <x:f>IF(OR(O270="",I270=""),"",IFERROR(DATEDIF(O270,I270,"m")/12,""))</x:f>
        <x:v>5.25</x:v>
      </x:c>
      <x:c r="Q270" s="60" t="str">
        <x:v>FLAT 6, 26, EARDLEY CRESCENT, LONDON, LONDON, SW5 9JZ</x:v>
      </x:c>
      <x:c r="R270" s="61" t="n">
        <x:v>42461.5</x:v>
      </x:c>
      <x:c r="S270" s="64" t="n">
        <x:f>IF(OR(R270="",X270=""),"",IFERROR(DATEDIF(R270,X270,"m")/12,""))</x:f>
        <x:v>10.333333333333334</x:v>
      </x:c>
      <x:c r="T270" s="60" t="str">
        <x:v>PHYSICIST / COMPANY DIRECTOR</x:v>
      </x:c>
      <x:c r="U270" s="60" t="str">
        <x:v>CRYOGENIC LIMITED</x:v>
      </x:c>
      <x:c r="V270" s="60" t="str">
        <x:v>UNIT 6, ACTON PARK INDUSTRIAL ESTATE, THE VALE, LONDON W3 7QE</x:v>
      </x:c>
      <x:c r="W270" s="63" t="str">
        <x:v>020 8743 6049</x:v>
      </x:c>
      <x:c r="X270" s="65" t="n">
        <x:f>TODAY()</x:f>
        <x:v>46250</x:v>
      </x:c>
    </x:row>
    <x:row r="271">
      <x:c r="A271" s="59" t="str">
        <x:v>GOODALE</x:v>
      </x:c>
      <x:c r="B271" s="60" t="str">
        <x:v>FABRICE</x:v>
      </x:c>
      <x:c r="C271" s="60" t="str">
        <x:v>ANDRE JEAN CLAUDE</x:v>
      </x:c>
      <x:c r="D271" s="61" t="n">
        <x:v>26646.5</x:v>
      </x:c>
      <x:c r="E271" s="62" t="n">
        <x:f>IF(OR(D271="",X271=""),"",IFERROR(DATEDIF(D271,X271,"y"),""))</x:f>
        <x:v>53</x:v>
      </x:c>
      <x:c r="F271" s="60"/>
      <x:c r="G271" s="63"/>
      <x:c r="H271" s="63"/>
      <x:c r="I271" s="61" t="n">
        <x:v>44013.5</x:v>
      </x:c>
      <x:c r="J271" s="64" t="n">
        <x:f>IF(OR(I271="",X271=""),"",IFERROR(DATEDIF(I271,X271,"m")/12,""))</x:f>
        <x:v>6.083333333333333</x:v>
      </x:c>
      <x:c r="K271" s="60" t="str">
        <x:v>27A REDCLIFFE SQUARE, LONDON, SW109JX</x:v>
      </x:c>
      <x:c r="L271" s="60" t="str">
        <x:v> SW109JX</x:v>
      </x:c>
      <x:c r="M271" s="60"/>
      <x:c r="N271" s="60" t="str">
        <x:v>SW109JX</x:v>
      </x:c>
      <x:c r="O271" s="61"/>
      <x:c r="P271" s="64" t="str">
        <x:f>IF(OR(O271="",I271=""),"",IFERROR(DATEDIF(O271,I271,"m")/12,""))</x:f>
      </x:c>
      <x:c r="Q271" s="60"/>
      <x:c r="R271" s="61"/>
      <x:c r="S271" s="64" t="str">
        <x:f>IF(OR(R271="",X271=""),"",IFERROR(DATEDIF(R271,X271,"m")/12,""))</x:f>
      </x:c>
      <x:c r="T271" s="60"/>
      <x:c r="U271" s="60"/>
      <x:c r="V271" s="60"/>
      <x:c r="W271" s="63"/>
      <x:c r="X271" s="65" t="n">
        <x:f>TODAY()</x:f>
        <x:v>46250</x:v>
      </x:c>
    </x:row>
    <x:row r="272">
      <x:c r="A272" s="59" t="str">
        <x:v>GOODZ</x:v>
      </x:c>
      <x:c r="B272" s="60" t="str">
        <x:v>SHARI</x:v>
      </x:c>
      <x:c r="C272" s="60" t="str">
        <x:v>DINA</x:v>
      </x:c>
      <x:c r="D272" s="61"/>
      <x:c r="E272" s="62" t="str">
        <x:f>IF(OR(D272="",X272=""),"",IFERROR(DATEDIF(D272,X272,"y"),""))</x:f>
      </x:c>
      <x:c r="F272" s="60"/>
      <x:c r="G272" s="63"/>
      <x:c r="H272" s="63"/>
      <x:c r="I272" s="61"/>
      <x:c r="J272" s="64" t="str">
        <x:f>IF(OR(I272="",X272=""),"",IFERROR(DATEDIF(I272,X272,"m")/12,""))</x:f>
      </x:c>
      <x:c r="K272" s="60"/>
      <x:c r="L272" s="60"/>
      <x:c r="M272" s="60"/>
      <x:c r="N272" s="60"/>
      <x:c r="O272" s="61"/>
      <x:c r="P272" s="64" t="str">
        <x:f>IF(OR(O272="",I272=""),"",IFERROR(DATEDIF(O272,I272,"m")/12,""))</x:f>
      </x:c>
      <x:c r="Q272" s="60"/>
      <x:c r="R272" s="61" t="n">
        <x:v>38108.5</x:v>
      </x:c>
      <x:c r="S272" s="64" t="n">
        <x:f>IF(OR(R272="",X272=""),"",IFERROR(DATEDIF(R272,X272,"m")/12,""))</x:f>
        <x:v>22.25</x:v>
      </x:c>
      <x:c r="T272" s="60" t="str">
        <x:v>GLOBAL MARKETING DIRECTOR</x:v>
      </x:c>
      <x:c r="U272" s="60" t="str">
        <x:v>GLAXOSMITHKLINE PLC</x:v>
      </x:c>
      <x:c r="V272" s="60" t="str">
        <x:v>980 GREAT WEST ROAD, LONDON, TW8 9GS</x:v>
      </x:c>
      <x:c r="W272" s="63"/>
      <x:c r="X272" s="65" t="n">
        <x:f>TODAY()</x:f>
        <x:v>46250</x:v>
      </x:c>
    </x:row>
    <x:row r="273">
      <x:c r="A273" s="59" t="str">
        <x:v>GORDIENKO</x:v>
      </x:c>
      <x:c r="B273" s="60" t="str">
        <x:v>EKATERINA</x:v>
      </x:c>
      <x:c r="C273" s="60"/>
      <x:c r="D273" s="61" t="str">
        <x:v>00/01/1900</x:v>
      </x:c>
      <x:c r="E273" s="62" t="str">
        <x:f>IF(OR(D273="",X273=""),"",IFERROR(DATEDIF(D273,X273,"y"),""))</x:f>
      </x:c>
      <x:c r="F273" s="60"/>
      <x:c r="G273" s="63" t="str">
        <x:v>07557892793</x:v>
      </x:c>
      <x:c r="H273" s="63"/>
      <x:c r="I273" s="61" t="n">
        <x:v>43191.5</x:v>
      </x:c>
      <x:c r="J273" s="64" t="n">
        <x:f>IF(OR(I273="",X273=""),"",IFERROR(DATEDIF(I273,X273,"m")/12,""))</x:f>
        <x:v>8.333333333333334</x:v>
      </x:c>
      <x:c r="K273" s="60" t="str">
        <x:v>FLAT 11, 16 NEVERN SQUARE, LONDON, SW5 9NW</x:v>
      </x:c>
      <x:c r="L273" s="60" t="str">
        <x:v> SW5 9NW</x:v>
      </x:c>
      <x:c r="M273" s="60"/>
      <x:c r="N273" s="60" t="str">
        <x:v>SW5 9NW</x:v>
      </x:c>
      <x:c r="O273" s="61"/>
      <x:c r="P273" s="64" t="str">
        <x:f>IF(OR(O273="",I273=""),"",IFERROR(DATEDIF(O273,I273,"m")/12,""))</x:f>
      </x:c>
      <x:c r="Q273" s="60"/>
      <x:c r="R273" s="61" t="n">
        <x:v>45047.5</x:v>
      </x:c>
      <x:c r="S273" s="64" t="n">
        <x:f>IF(OR(R273="",X273=""),"",IFERROR(DATEDIF(R273,X273,"m")/12,""))</x:f>
        <x:v>3.25</x:v>
      </x:c>
      <x:c r="T273" s="60" t="str">
        <x:v>CONSULTANT</x:v>
      </x:c>
      <x:c r="U273" s="60" t="str">
        <x:v>BURO HAPPOLD</x:v>
      </x:c>
      <x:c r="V273" s="60" t="str">
        <x:v>17 NEWMAN STREET, LONDON, W1T 1PD</x:v>
      </x:c>
      <x:c r="W273" s="63" t="str">
        <x:v>02079 279 700</x:v>
      </x:c>
      <x:c r="X273" s="65" t="n">
        <x:f>TODAY()</x:f>
        <x:v>46250</x:v>
      </x:c>
    </x:row>
    <x:row r="274">
      <x:c r="A274" s="59" t="str">
        <x:v>GORDON</x:v>
      </x:c>
      <x:c r="B274" s="60" t="str">
        <x:v>HANNAH</x:v>
      </x:c>
      <x:c r="C274" s="60" t="str">
        <x:v>LOUISE</x:v>
      </x:c>
      <x:c r="D274" s="61" t="n">
        <x:v>29329.5</x:v>
      </x:c>
      <x:c r="E274" s="62" t="n">
        <x:f>IF(OR(D274="",X274=""),"",IFERROR(DATEDIF(D274,X274,"y"),""))</x:f>
        <x:v>46</x:v>
      </x:c>
      <x:c r="F274" s="60" t="str">
        <x:v>DAVID</x:v>
      </x:c>
      <x:c r="G274" s="63"/>
      <x:c r="H274" s="63" t="str">
        <x:v>JE281775D</x:v>
      </x:c>
      <x:c r="I274" s="61" t="n">
        <x:v>42156.5</x:v>
      </x:c>
      <x:c r="J274" s="64" t="n">
        <x:f>IF(OR(I274="",X274=""),"",IFERROR(DATEDIF(I274,X274,"m")/12,""))</x:f>
        <x:v>11.166666666666666</x:v>
      </x:c>
      <x:c r="K274" s="60" t="str">
        <x:v>LOWER GROUND FLOOR, 26, GREYHOUNDROAD, LONDON, LONDON, W6 8NX</x:v>
      </x:c>
      <x:c r="L274" s="60" t="str">
        <x:v> LONDON, W6 8NX</x:v>
      </x:c>
      <x:c r="M274" s="60"/>
      <x:c r="N274" s="60" t="str">
        <x:v> W6 8NX</x:v>
      </x:c>
      <x:c r="O274" s="61"/>
      <x:c r="P274" s="64" t="str">
        <x:f>IF(OR(O274="",I274=""),"",IFERROR(DATEDIF(O274,I274,"m")/12,""))</x:f>
      </x:c>
      <x:c r="Q274" s="60"/>
      <x:c r="R274" s="61"/>
      <x:c r="S274" s="64" t="str">
        <x:f>IF(OR(R274="",X274=""),"",IFERROR(DATEDIF(R274,X274,"m")/12,""))</x:f>
      </x:c>
      <x:c r="T274" s="60"/>
      <x:c r="U274" s="60"/>
      <x:c r="V274" s="60"/>
      <x:c r="W274" s="63"/>
      <x:c r="X274" s="65" t="n">
        <x:f>TODAY()</x:f>
        <x:v>46250</x:v>
      </x:c>
    </x:row>
    <x:row r="275">
      <x:c r="A275" s="59" t="str">
        <x:v>GOULD</x:v>
      </x:c>
      <x:c r="B275" s="60" t="str">
        <x:v>SIOBHAN</x:v>
      </x:c>
      <x:c r="C275" s="60" t="str">
        <x:v>LEILA</x:v>
      </x:c>
      <x:c r="D275" s="61"/>
      <x:c r="E275" s="62" t="str">
        <x:f>IF(OR(D275="",X275=""),"",IFERROR(DATEDIF(D275,X275,"y"),""))</x:f>
      </x:c>
      <x:c r="F275" s="60"/>
      <x:c r="G275" s="63"/>
      <x:c r="H275" s="63"/>
      <x:c r="I275" s="61"/>
      <x:c r="J275" s="64" t="str">
        <x:f>IF(OR(I275="",X275=""),"",IFERROR(DATEDIF(I275,X275,"m")/12,""))</x:f>
      </x:c>
      <x:c r="K275" s="60"/>
      <x:c r="L275" s="60"/>
      <x:c r="M275" s="60"/>
      <x:c r="N275" s="60"/>
      <x:c r="O275" s="61"/>
      <x:c r="P275" s="64" t="str">
        <x:f>IF(OR(O275="",I275=""),"",IFERROR(DATEDIF(O275,I275,"m")/12,""))</x:f>
      </x:c>
      <x:c r="Q275" s="60"/>
      <x:c r="R275" s="61"/>
      <x:c r="S275" s="64" t="str">
        <x:f>IF(OR(R275="",X275=""),"",IFERROR(DATEDIF(R275,X275,"m")/12,""))</x:f>
      </x:c>
      <x:c r="T275" s="60"/>
      <x:c r="U275" s="60"/>
      <x:c r="V275" s="60"/>
      <x:c r="W275" s="63"/>
      <x:c r="X275" s="65" t="n">
        <x:f>TODAY()</x:f>
        <x:v>46250</x:v>
      </x:c>
    </x:row>
    <x:row r="276">
      <x:c r="A276" s="59" t="str">
        <x:v>GRAHAM</x:v>
      </x:c>
      <x:c r="B276" s="60" t="str">
        <x:v>EDWARD</x:v>
      </x:c>
      <x:c r="C276" s="60" t="str">
        <x:v>ALEXANDER</x:v>
      </x:c>
      <x:c r="D276" s="61" t="n">
        <x:v>36217.5</x:v>
      </x:c>
      <x:c r="E276" s="62" t="n">
        <x:f>IF(OR(D276="",X276=""),"",IFERROR(DATEDIF(D276,X276,"y"),""))</x:f>
        <x:v>27</x:v>
      </x:c>
      <x:c r="F276" s="60" t="str">
        <x:v>HOLLINRAKE</x:v>
      </x:c>
      <x:c r="G276" s="63"/>
      <x:c r="H276" s="63"/>
      <x:c r="I276" s="61"/>
      <x:c r="J276" s="64" t="str">
        <x:f>IF(OR(I276="",X276=""),"",IFERROR(DATEDIF(I276,X276,"m")/12,""))</x:f>
      </x:c>
      <x:c r="K276" s="60"/>
      <x:c r="L276" s="60"/>
      <x:c r="M276" s="60"/>
      <x:c r="N276" s="60"/>
      <x:c r="O276" s="61"/>
      <x:c r="P276" s="64" t="str">
        <x:f>IF(OR(O276="",I276=""),"",IFERROR(DATEDIF(O276,I276,"m")/12,""))</x:f>
      </x:c>
      <x:c r="Q276" s="60"/>
      <x:c r="R276" s="61"/>
      <x:c r="S276" s="64" t="str">
        <x:f>IF(OR(R276="",X276=""),"",IFERROR(DATEDIF(R276,X276,"m")/12,""))</x:f>
      </x:c>
      <x:c r="T276" s="60"/>
      <x:c r="U276" s="60"/>
      <x:c r="V276" s="60"/>
      <x:c r="W276" s="63"/>
      <x:c r="X276" s="65" t="n">
        <x:f>TODAY()</x:f>
        <x:v>46250</x:v>
      </x:c>
    </x:row>
    <x:row r="277">
      <x:c r="A277" s="59" t="str">
        <x:v>GRANT</x:v>
      </x:c>
      <x:c r="B277" s="60" t="str">
        <x:v>JORDAN</x:v>
      </x:c>
      <x:c r="C277" s="60" t="str">
        <x:v>ATLANTA</x:v>
      </x:c>
      <x:c r="D277" s="61" t="n">
        <x:v>34619.5</x:v>
      </x:c>
      <x:c r="E277" s="62" t="n">
        <x:f>IF(OR(D277="",X277=""),"",IFERROR(DATEDIF(D277,X277,"y"),""))</x:f>
        <x:v>31</x:v>
      </x:c>
      <x:c r="F277" s="60"/>
      <x:c r="G277" s="63"/>
      <x:c r="H277" s="63"/>
      <x:c r="I277" s="61"/>
      <x:c r="J277" s="64" t="str">
        <x:f>IF(OR(I277="",X277=""),"",IFERROR(DATEDIF(I277,X277,"m")/12,""))</x:f>
      </x:c>
      <x:c r="K277" s="60"/>
      <x:c r="L277" s="60"/>
      <x:c r="M277" s="60"/>
      <x:c r="N277" s="60"/>
      <x:c r="O277" s="61"/>
      <x:c r="P277" s="64" t="str">
        <x:f>IF(OR(O277="",I277=""),"",IFERROR(DATEDIF(O277,I277,"m")/12,""))</x:f>
      </x:c>
      <x:c r="Q277" s="60"/>
      <x:c r="R277" s="61"/>
      <x:c r="S277" s="64" t="str">
        <x:f>IF(OR(R277="",X277=""),"",IFERROR(DATEDIF(R277,X277,"m")/12,""))</x:f>
      </x:c>
      <x:c r="T277" s="60" t="str">
        <x:v>CONTENT CREATOR</x:v>
      </x:c>
      <x:c r="U277" s="60" t="str">
        <x:v>BOX OF HEAT LTD</x:v>
      </x:c>
      <x:c r="V277" s="60" t="str">
        <x:v>2 ARUNDEL STREET, LONDON, WC2R 3DA</x:v>
      </x:c>
      <x:c r="W277" s="63"/>
      <x:c r="X277" s="65" t="n">
        <x:f>TODAY()</x:f>
        <x:v>46250</x:v>
      </x:c>
    </x:row>
    <x:row r="278">
      <x:c r="A278" s="59" t="str">
        <x:v>GRAVANIS</x:v>
      </x:c>
      <x:c r="B278" s="60" t="str">
        <x:v>THOMAS</x:v>
      </x:c>
      <x:c r="C278" s="60"/>
      <x:c r="D278" s="61" t="n">
        <x:v>24040.5</x:v>
      </x:c>
      <x:c r="E278" s="62" t="n">
        <x:f>IF(OR(D278="",X278=""),"",IFERROR(DATEDIF(D278,X278,"y"),""))</x:f>
        <x:v>60</x:v>
      </x:c>
      <x:c r="F278" s="60" t="str">
        <x:v>GRAVANIS</x:v>
      </x:c>
      <x:c r="G278" s="63" t="str">
        <x:v>07415801628</x:v>
      </x:c>
      <x:c r="H278" s="63"/>
      <x:c r="I278" s="61" t="n">
        <x:v>42979.5</x:v>
      </x:c>
      <x:c r="J278" s="64" t="n">
        <x:f>IF(OR(I278="",X278=""),"",IFERROR(DATEDIF(I278,X278,"m")/12,""))</x:f>
        <x:v>8.916666666666666</x:v>
      </x:c>
      <x:c r="K278" s="60" t="str">
        <x:v>FLAT 3, 280-282 FULHAM ROAD, LONDON,SW10 9EW</x:v>
      </x:c>
      <x:c r="L278" s="60" t="str">
        <x:v>SW10 9EW</x:v>
      </x:c>
      <x:c r="M278" s="60"/>
      <x:c r="N278" s="60" t="str">
        <x:v>SW10 9EW</x:v>
      </x:c>
      <x:c r="O278" s="61"/>
      <x:c r="P278" s="64" t="str">
        <x:f>IF(OR(O278="",I278=""),"",IFERROR(DATEDIF(O278,I278,"m")/12,""))</x:f>
      </x:c>
      <x:c r="Q278" s="60"/>
      <x:c r="R278" s="61"/>
      <x:c r="S278" s="64" t="str">
        <x:f>IF(OR(R278="",X278=""),"",IFERROR(DATEDIF(R278,X278,"m")/12,""))</x:f>
      </x:c>
      <x:c r="T278" s="60"/>
      <x:c r="U278" s="60"/>
      <x:c r="V278" s="60"/>
      <x:c r="W278" s="63"/>
      <x:c r="X278" s="65" t="n">
        <x:f>TODAY()</x:f>
        <x:v>46250</x:v>
      </x:c>
    </x:row>
    <x:row r="279">
      <x:c r="A279" s="59" t="str">
        <x:v>GRAY</x:v>
      </x:c>
      <x:c r="B279" s="60" t="str">
        <x:v>ALICIA</x:v>
      </x:c>
      <x:c r="C279" s="60"/>
      <x:c r="D279" s="61" t="n">
        <x:v>32394.5</x:v>
      </x:c>
      <x:c r="E279" s="62" t="n">
        <x:f>IF(OR(D279="",X279=""),"",IFERROR(DATEDIF(D279,X279,"y"),""))</x:f>
        <x:v>37</x:v>
      </x:c>
      <x:c r="F279" s="60" t="str">
        <x:v>GRAY</x:v>
      </x:c>
      <x:c r="G279" s="63" t="str">
        <x:v>07950176976</x:v>
      </x:c>
      <x:c r="H279" s="63"/>
      <x:c r="I279" s="61" t="n">
        <x:v>43952.5</x:v>
      </x:c>
      <x:c r="J279" s="64" t="n">
        <x:f>IF(OR(I279="",X279=""),"",IFERROR(DATEDIF(I279,X279,"m")/12,""))</x:f>
        <x:v>6.25</x:v>
      </x:c>
      <x:c r="K279" s="60" t="str">
        <x:v>FLAT 9, 59 BONDWAY, LONDON SW8 1SJ</x:v>
      </x:c>
      <x:c r="L279" s="60"/>
      <x:c r="M279" s="60"/>
      <x:c r="N279" s="60"/>
      <x:c r="O279" s="61" t="n">
        <x:v>43678.5</x:v>
      </x:c>
      <x:c r="P279" s="64" t="n">
        <x:f>IF(OR(O279="",I279=""),"",IFERROR(DATEDIF(O279,I279,"m")/12,""))</x:f>
        <x:v>0.75</x:v>
      </x:c>
      <x:c r="Q279" s="60" t="str">
        <x:v>59A GRANTHAM ROAD, LONDON, SW9 9ED</x:v>
      </x:c>
      <x:c r="R279" s="61" t="n">
        <x:v>41760.5</x:v>
      </x:c>
      <x:c r="S279" s="64" t="n">
        <x:f>IF(OR(R279="",X279=""),"",IFERROR(DATEDIF(R279,X279,"m")/12,""))</x:f>
        <x:v>12.25</x:v>
      </x:c>
      <x:c r="T279" s="60" t="str">
        <x:v>BUSINESS DEVELOPMENT MANAGER</x:v>
      </x:c>
      <x:c r="U279" s="60" t="str">
        <x:v>PROCTOR WEALTH ASSOCIATES</x:v>
      </x:c>
      <x:c r="V279" s="60" t="str">
        <x:v>FIRST FLOOR, 85 GREAT PORTLAND STREET, LONDON, W1W 7LT</x:v>
      </x:c>
      <x:c r="W279" s="63"/>
      <x:c r="X279" s="65" t="n">
        <x:f>TODAY()</x:f>
        <x:v>46250</x:v>
      </x:c>
    </x:row>
    <x:row r="280">
      <x:c r="A280" s="59" t="str">
        <x:v>GREEN</x:v>
      </x:c>
      <x:c r="B280" s="60" t="str">
        <x:v>TETIANA</x:v>
      </x:c>
      <x:c r="C280" s="60"/>
      <x:c r="D280" s="61"/>
      <x:c r="E280" s="62" t="str">
        <x:f>IF(OR(D280="",X280=""),"",IFERROR(DATEDIF(D280,X280,"y"),""))</x:f>
      </x:c>
      <x:c r="F280" s="60"/>
      <x:c r="G280" s="63"/>
      <x:c r="H280" s="63" t="str">
        <x:v>SL403056A</x:v>
      </x:c>
      <x:c r="I280" s="61"/>
      <x:c r="J280" s="64" t="str">
        <x:f>IF(OR(I280="",X280=""),"",IFERROR(DATEDIF(I280,X280,"m")/12,""))</x:f>
      </x:c>
      <x:c r="K280" s="60" t="str">
        <x:v>FLAT 4 , 8 LEINSTER GARDENS, LONDON, W2 6DP</x:v>
      </x:c>
      <x:c r="L280" s="60" t="str">
        <x:v> W2 6DP</x:v>
      </x:c>
      <x:c r="M280" s="60"/>
      <x:c r="N280" s="60" t="str">
        <x:v>W2 6DP</x:v>
      </x:c>
      <x:c r="O280" s="61"/>
      <x:c r="P280" s="64" t="str">
        <x:f>IF(OR(O280="",I280=""),"",IFERROR(DATEDIF(O280,I280,"m")/12,""))</x:f>
      </x:c>
      <x:c r="Q280" s="60"/>
      <x:c r="R280" s="61"/>
      <x:c r="S280" s="64" t="str">
        <x:f>IF(OR(R280="",X280=""),"",IFERROR(DATEDIF(R280,X280,"m")/12,""))</x:f>
      </x:c>
      <x:c r="T280" s="60"/>
      <x:c r="U280" s="60" t="str">
        <x:v>HUGO BNOSS UK LIMITED</x:v>
      </x:c>
      <x:c r="V280" s="60"/>
      <x:c r="W280" s="63"/>
      <x:c r="X280" s="65" t="n">
        <x:f>TODAY()</x:f>
        <x:v>46250</x:v>
      </x:c>
    </x:row>
    <x:row r="281">
      <x:c r="A281" s="59" t="str">
        <x:v>GREW</x:v>
      </x:c>
      <x:c r="B281" s="60" t="str">
        <x:v>DONNA</x:v>
      </x:c>
      <x:c r="C281" s="60" t="str">
        <x:v>MARGARET</x:v>
      </x:c>
      <x:c r="D281" s="61" t="n">
        <x:v>24030.5</x:v>
      </x:c>
      <x:c r="E281" s="62" t="n">
        <x:f>IF(OR(D281="",X281=""),"",IFERROR(DATEDIF(D281,X281,"y"),""))</x:f>
        <x:v>60</x:v>
      </x:c>
      <x:c r="F281" s="60" t="str">
        <x:v>MURPHY</x:v>
      </x:c>
      <x:c r="G281" s="63"/>
      <x:c r="H281" s="63"/>
      <x:c r="I281" s="61" t="n">
        <x:v>42248.5</x:v>
      </x:c>
      <x:c r="J281" s="64" t="n">
        <x:f>IF(OR(I281="",X281=""),"",IFERROR(DATEDIF(I281,X281,"m")/12,""))</x:f>
        <x:v>10.916666666666666</x:v>
      </x:c>
      <x:c r="K281" s="60" t="str">
        <x:v>FLAT 2A, KINGS MANSIONS, LAWRENCE STREET, CHELSEA, LONDON, SW3 5ND</x:v>
      </x:c>
      <x:c r="L281" s="60" t="str">
        <x:v> SW3 5ND</x:v>
      </x:c>
      <x:c r="M281" s="60"/>
      <x:c r="N281" s="60" t="str">
        <x:v>SW3 5ND</x:v>
      </x:c>
      <x:c r="O281" s="61"/>
      <x:c r="P281" s="64" t="str">
        <x:f>IF(OR(O281="",I281=""),"",IFERROR(DATEDIF(O281,I281,"m")/12,""))</x:f>
      </x:c>
      <x:c r="Q281" s="60"/>
      <x:c r="R281" s="61"/>
      <x:c r="S281" s="64" t="str">
        <x:f>IF(OR(R281="",X281=""),"",IFERROR(DATEDIF(R281,X281,"m")/12,""))</x:f>
      </x:c>
      <x:c r="T281" s="60"/>
      <x:c r="U281" s="60"/>
      <x:c r="V281" s="60"/>
      <x:c r="W281" s="63"/>
      <x:c r="X281" s="65" t="n">
        <x:f>TODAY()</x:f>
        <x:v>46250</x:v>
      </x:c>
    </x:row>
    <x:row r="282">
      <x:c r="A282" s="59" t="str">
        <x:v>GRIFFITHS</x:v>
      </x:c>
      <x:c r="B282" s="60" t="str">
        <x:v>LAURA</x:v>
      </x:c>
      <x:c r="C282" s="60" t="str">
        <x:v>JOAN</x:v>
      </x:c>
      <x:c r="D282" s="61" t="n">
        <x:v>31842.5</x:v>
      </x:c>
      <x:c r="E282" s="62" t="n">
        <x:f>IF(OR(D282="",X282=""),"",IFERROR(DATEDIF(D282,X282,"y"),""))</x:f>
        <x:v>39</x:v>
      </x:c>
      <x:c r="F282" s="60"/>
      <x:c r="G282" s="63"/>
      <x:c r="H282" s="63"/>
      <x:c r="I282" s="61"/>
      <x:c r="J282" s="64" t="str">
        <x:f>IF(OR(I282="",X282=""),"",IFERROR(DATEDIF(I282,X282,"m")/12,""))</x:f>
      </x:c>
      <x:c r="K282" s="60"/>
      <x:c r="L282" s="60"/>
      <x:c r="M282" s="60"/>
      <x:c r="N282" s="60"/>
      <x:c r="O282" s="61"/>
      <x:c r="P282" s="64" t="str">
        <x:f>IF(OR(O282="",I282=""),"",IFERROR(DATEDIF(O282,I282,"m")/12,""))</x:f>
      </x:c>
      <x:c r="Q282" s="60"/>
      <x:c r="R282" s="61" t="n">
        <x:v>43405.5</x:v>
      </x:c>
      <x:c r="S282" s="64" t="n">
        <x:f>IF(OR(R282="",X282=""),"",IFERROR(DATEDIF(R282,X282,"m")/12,""))</x:f>
        <x:v>7.75</x:v>
      </x:c>
      <x:c r="T282" s="60" t="str">
        <x:v>ACCOUNT DIRECTOR</x:v>
      </x:c>
      <x:c r="U282" s="60" t="str">
        <x:v>PROPERTY CONSULTING GROUP AT CACI LTD</x:v>
      </x:c>
      <x:c r="V282" s="60"/>
      <x:c r="W282" s="63"/>
      <x:c r="X282" s="65" t="n">
        <x:f>TODAY()</x:f>
        <x:v>46250</x:v>
      </x:c>
    </x:row>
    <x:row r="283">
      <x:c r="A283" s="59" t="str">
        <x:v>GUBBIONI</x:v>
      </x:c>
      <x:c r="B283" s="60" t="str">
        <x:v>NATALIA</x:v>
      </x:c>
      <x:c r="C283" s="60"/>
      <x:c r="D283" s="61" t="n">
        <x:v>31415.5</x:v>
      </x:c>
      <x:c r="E283" s="62" t="n">
        <x:f>IF(OR(D283="",X283=""),"",IFERROR(DATEDIF(D283,X283,"y"),""))</x:f>
        <x:v>40</x:v>
      </x:c>
      <x:c r="F283" s="60"/>
      <x:c r="G283" s="63"/>
      <x:c r="H283" s="63"/>
      <x:c r="I283" s="61"/>
      <x:c r="J283" s="64" t="str">
        <x:f>IF(OR(I283="",X283=""),"",IFERROR(DATEDIF(I283,X283,"m")/12,""))</x:f>
      </x:c>
      <x:c r="K283" s="60" t="str">
        <x:v>FLAT 6, 8 LEINSTER GARDENS, LONDON, W2 6IP</x:v>
      </x:c>
      <x:c r="L283" s="60" t="str">
        <x:v> W2 6IP</x:v>
      </x:c>
      <x:c r="M283" s="60"/>
      <x:c r="N283" s="60" t="str">
        <x:v>W2 6IP</x:v>
      </x:c>
      <x:c r="O283" s="61"/>
      <x:c r="P283" s="64" t="str">
        <x:f>IF(OR(O283="",I283=""),"",IFERROR(DATEDIF(O283,I283,"m")/12,""))</x:f>
      </x:c>
      <x:c r="Q283" s="60"/>
      <x:c r="R283" s="61"/>
      <x:c r="S283" s="64" t="str">
        <x:f>IF(OR(R283="",X283=""),"",IFERROR(DATEDIF(R283,X283,"m")/12,""))</x:f>
      </x:c>
      <x:c r="T283" s="60"/>
      <x:c r="U283" s="60"/>
      <x:c r="V283" s="60"/>
      <x:c r="W283" s="63"/>
      <x:c r="X283" s="65" t="n">
        <x:f>TODAY()</x:f>
        <x:v>46250</x:v>
      </x:c>
    </x:row>
    <x:row r="284">
      <x:c r="A284" s="59" t="str">
        <x:v>GUBBY</x:v>
      </x:c>
      <x:c r="B284" s="60" t="str">
        <x:v>ADRIAN</x:v>
      </x:c>
      <x:c r="C284" s="60" t="str">
        <x:v>WILLIAM</x:v>
      </x:c>
      <x:c r="D284" s="61" t="n">
        <x:v>28522.5</x:v>
      </x:c>
      <x:c r="E284" s="62" t="n">
        <x:f>IF(OR(D284="",X284=""),"",IFERROR(DATEDIF(D284,X284,"y"),""))</x:f>
        <x:v>48</x:v>
      </x:c>
      <x:c r="F284" s="60" t="str">
        <x:v>JENKINS</x:v>
      </x:c>
      <x:c r="G284" s="63"/>
      <x:c r="H284" s="63"/>
      <x:c r="I284" s="61"/>
      <x:c r="J284" s="64" t="str">
        <x:f>IF(OR(I284="",X284=""),"",IFERROR(DATEDIF(I284,X284,"m")/12,""))</x:f>
      </x:c>
      <x:c r="K284" s="60"/>
      <x:c r="L284" s="60"/>
      <x:c r="M284" s="60"/>
      <x:c r="N284" s="60"/>
      <x:c r="O284" s="61"/>
      <x:c r="P284" s="64" t="str">
        <x:f>IF(OR(O284="",I284=""),"",IFERROR(DATEDIF(O284,I284,"m")/12,""))</x:f>
      </x:c>
      <x:c r="Q284" s="60"/>
      <x:c r="R284" s="61"/>
      <x:c r="S284" s="64" t="str">
        <x:f>IF(OR(R284="",X284=""),"",IFERROR(DATEDIF(R284,X284,"m")/12,""))</x:f>
      </x:c>
      <x:c r="T284" s="60"/>
      <x:c r="U284" s="60"/>
      <x:c r="V284" s="60"/>
      <x:c r="W284" s="63"/>
      <x:c r="X284" s="65" t="n">
        <x:f>TODAY()</x:f>
        <x:v>46250</x:v>
      </x:c>
    </x:row>
    <x:row r="285">
      <x:c r="A285" s="59" t="str">
        <x:v>GUMEROVA</x:v>
      </x:c>
      <x:c r="B285" s="60" t="str">
        <x:v>DIANA</x:v>
      </x:c>
      <x:c r="C285" s="60"/>
      <x:c r="D285" s="61" t="n">
        <x:v>32354.5</x:v>
      </x:c>
      <x:c r="E285" s="62" t="n">
        <x:f>IF(OR(D285="",X285=""),"",IFERROR(DATEDIF(D285,X285,"y"),""))</x:f>
        <x:v>38</x:v>
      </x:c>
      <x:c r="F285" s="60" t="str">
        <x:v>GUMEROVA</x:v>
      </x:c>
      <x:c r="G285" s="63" t="str">
        <x:v>07732122491</x:v>
      </x:c>
      <x:c r="H285" s="63"/>
      <x:c r="I285" s="61" t="n">
        <x:v>44105.5</x:v>
      </x:c>
      <x:c r="J285" s="64" t="n">
        <x:f>IF(OR(I285="",X285=""),"",IFERROR(DATEDIF(I285,X285,"m")/12,""))</x:f>
        <x:v>5.833333333333333</x:v>
      </x:c>
      <x:c r="K285" s="60" t="str">
        <x:v>FLAT 7, 4 QUEENS GATE PLACE, LONDON, SW7 5NT</x:v>
      </x:c>
      <x:c r="L285" s="60" t="str">
        <x:v> SW7 5NT</x:v>
      </x:c>
      <x:c r="M285" s="60"/>
      <x:c r="N285" s="60" t="str">
        <x:v>SW7 5NT</x:v>
      </x:c>
      <x:c r="O285" s="61" t="n">
        <x:v>40940.5</x:v>
      </x:c>
      <x:c r="P285" s="64" t="n">
        <x:f>IF(OR(O285="",I285=""),"",IFERROR(DATEDIF(O285,I285,"m")/12,""))</x:f>
        <x:v>8.666666666666666</x:v>
      </x:c>
      <x:c r="Q285" s="60" t="str">
        <x:v>FLAT 4, 6 CORNWALL GARDENS, LONDON, SW7 4AL</x:v>
      </x:c>
      <x:c r="R285" s="61" t="n">
        <x:v>43101.5</x:v>
      </x:c>
      <x:c r="S285" s="64" t="n">
        <x:f>IF(OR(R285="",X285=""),"",IFERROR(DATEDIF(R285,X285,"m")/12,""))</x:f>
        <x:v>8.583333333333334</x:v>
      </x:c>
      <x:c r="T285" s="60" t="str">
        <x:v>MANAGER</x:v>
      </x:c>
      <x:c r="U285" s="60" t="str">
        <x:v>MACQUARIE GROUP LIMITED</x:v>
      </x:c>
      <x:c r="V285" s="60" t="str">
        <x:v>ROPEMAKER PLACE, 28 ROPEMAKER STREET, LONDON EC2Y 9HD</x:v>
      </x:c>
      <x:c r="W285" s="63"/>
      <x:c r="X285" s="65" t="n">
        <x:f>TODAY()</x:f>
        <x:v>46250</x:v>
      </x:c>
    </x:row>
    <x:row r="286">
      <x:c r="A286" s="59" t="str">
        <x:v>GURSEL</x:v>
      </x:c>
      <x:c r="B286" s="60" t="str">
        <x:v>ASLI</x:v>
      </x:c>
      <x:c r="C286" s="60"/>
      <x:c r="D286" s="61" t="n">
        <x:v>32648.5</x:v>
      </x:c>
      <x:c r="E286" s="62" t="n">
        <x:f>IF(OR(D286="",X286=""),"",IFERROR(DATEDIF(D286,X286,"y"),""))</x:f>
        <x:v>37</x:v>
      </x:c>
      <x:c r="F286" s="60"/>
      <x:c r="G286" s="63"/>
      <x:c r="H286" s="63" t="str">
        <x:v>SZ759057B</x:v>
      </x:c>
      <x:c r="I286" s="61"/>
      <x:c r="J286" s="64" t="str">
        <x:f>IF(OR(I286="",X286=""),"",IFERROR(DATEDIF(I286,X286,"m")/12,""))</x:f>
      </x:c>
      <x:c r="K286" s="60" t="str">
        <x:v>FLAT 13, 163 CROMWELL ROAD, LONDON, SW5 0SQ</x:v>
      </x:c>
      <x:c r="L286" s="60" t="str">
        <x:v> SW5 0SQ</x:v>
      </x:c>
      <x:c r="M286" s="60"/>
      <x:c r="N286" s="60" t="str">
        <x:v>SW5 0SQ</x:v>
      </x:c>
      <x:c r="O286" s="61"/>
      <x:c r="P286" s="64" t="str">
        <x:f>IF(OR(O286="",I286=""),"",IFERROR(DATEDIF(O286,I286,"m")/12,""))</x:f>
      </x:c>
      <x:c r="Q286" s="60"/>
      <x:c r="R286" s="61"/>
      <x:c r="S286" s="64" t="str">
        <x:f>IF(OR(R286="",X286=""),"",IFERROR(DATEDIF(R286,X286,"m")/12,""))</x:f>
      </x:c>
      <x:c r="T286" s="60"/>
      <x:c r="U286" s="60"/>
      <x:c r="V286" s="60"/>
      <x:c r="W286" s="63"/>
      <x:c r="X286" s="65" t="n">
        <x:f>TODAY()</x:f>
        <x:v>46250</x:v>
      </x:c>
    </x:row>
    <x:row r="287">
      <x:c r="A287" s="59" t="str">
        <x:v>H</x:v>
      </x:c>
      <x:c r="B287" s="60"/>
      <x:c r="C287" s="60"/>
      <x:c r="D287" s="61"/>
      <x:c r="E287" s="62" t="str">
        <x:f>IF(OR(D287="",X287=""),"",IFERROR(DATEDIF(D287,X287,"y"),""))</x:f>
      </x:c>
      <x:c r="F287" s="60"/>
      <x:c r="G287" s="63"/>
      <x:c r="H287" s="63"/>
      <x:c r="I287" s="61"/>
      <x:c r="J287" s="64" t="str">
        <x:f>IF(OR(I287="",X287=""),"",IFERROR(DATEDIF(I287,X287,"m")/12,""))</x:f>
      </x:c>
      <x:c r="K287" s="60"/>
      <x:c r="L287" s="60"/>
      <x:c r="M287" s="60"/>
      <x:c r="N287" s="60"/>
      <x:c r="O287" s="61"/>
      <x:c r="P287" s="64" t="str">
        <x:f>IF(OR(O287="",I287=""),"",IFERROR(DATEDIF(O287,I287,"m")/12,""))</x:f>
      </x:c>
      <x:c r="Q287" s="60"/>
      <x:c r="R287" s="61"/>
      <x:c r="S287" s="64" t="str">
        <x:f>IF(OR(R287="",X287=""),"",IFERROR(DATEDIF(R287,X287,"m")/12,""))</x:f>
      </x:c>
      <x:c r="T287" s="60"/>
      <x:c r="U287" s="60"/>
      <x:c r="V287" s="60"/>
      <x:c r="W287" s="63"/>
      <x:c r="X287" s="65" t="n">
        <x:f>TODAY()</x:f>
        <x:v>46250</x:v>
      </x:c>
    </x:row>
    <x:row r="288">
      <x:c r="A288" s="59" t="str">
        <x:v>HABBA</x:v>
      </x:c>
      <x:c r="B288" s="60" t="str">
        <x:v>MAVIS</x:v>
      </x:c>
      <x:c r="C288" s="60" t="str">
        <x:v>DOROTHY</x:v>
      </x:c>
      <x:c r="D288" s="61" t="n">
        <x:v>15983.5</x:v>
      </x:c>
      <x:c r="E288" s="62" t="n">
        <x:f>IF(OR(D288="",X288=""),"",IFERROR(DATEDIF(D288,X288,"y"),""))</x:f>
        <x:v>82</x:v>
      </x:c>
      <x:c r="F288" s="60"/>
      <x:c r="G288" s="63"/>
      <x:c r="H288" s="63"/>
      <x:c r="I288" s="61"/>
      <x:c r="J288" s="64" t="str">
        <x:f>IF(OR(I288="",X288=""),"",IFERROR(DATEDIF(I288,X288,"m")/12,""))</x:f>
      </x:c>
      <x:c r="K288" s="60" t="str">
        <x:v>FLAT E, 53 LANCASTER GATE, LONODN, W23LN</x:v>
      </x:c>
      <x:c r="L288" s="60"/>
      <x:c r="M288" s="60"/>
      <x:c r="N288" s="60"/>
      <x:c r="O288" s="61"/>
      <x:c r="P288" s="64" t="str">
        <x:f>IF(OR(O288="",I288=""),"",IFERROR(DATEDIF(O288,I288,"m")/12,""))</x:f>
      </x:c>
      <x:c r="Q288" s="60"/>
      <x:c r="R288" s="61"/>
      <x:c r="S288" s="64" t="str">
        <x:f>IF(OR(R288="",X288=""),"",IFERROR(DATEDIF(R288,X288,"m")/12,""))</x:f>
      </x:c>
      <x:c r="T288" s="60"/>
      <x:c r="U288" s="60"/>
      <x:c r="V288" s="60"/>
      <x:c r="W288" s="63"/>
      <x:c r="X288" s="65" t="n">
        <x:f>TODAY()</x:f>
        <x:v>46250</x:v>
      </x:c>
    </x:row>
    <x:row r="289">
      <x:c r="A289" s="59" t="str">
        <x:v>HABBA</x:v>
      </x:c>
      <x:c r="B289" s="60" t="str">
        <x:v>NABIL</x:v>
      </x:c>
      <x:c r="C289" s="60"/>
      <x:c r="D289" s="61" t="n">
        <x:v>16113.5</x:v>
      </x:c>
      <x:c r="E289" s="62" t="n">
        <x:f>IF(OR(D289="",X289=""),"",IFERROR(DATEDIF(D289,X289,"y"),""))</x:f>
        <x:v>82</x:v>
      </x:c>
      <x:c r="F289" s="60"/>
      <x:c r="G289" s="63"/>
      <x:c r="H289" s="63"/>
      <x:c r="I289" s="61"/>
      <x:c r="J289" s="64" t="str">
        <x:f>IF(OR(I289="",X289=""),"",IFERROR(DATEDIF(I289,X289,"m")/12,""))</x:f>
      </x:c>
      <x:c r="K289" s="60" t="str">
        <x:v>FLAT E, 53 LANCASTER GATE, LONODN, W23LN</x:v>
      </x:c>
      <x:c r="L289" s="60"/>
      <x:c r="M289" s="60"/>
      <x:c r="N289" s="60"/>
      <x:c r="O289" s="61"/>
      <x:c r="P289" s="64" t="str">
        <x:f>IF(OR(O289="",I289=""),"",IFERROR(DATEDIF(O289,I289,"m")/12,""))</x:f>
      </x:c>
      <x:c r="Q289" s="60"/>
      <x:c r="R289" s="61"/>
      <x:c r="S289" s="64" t="str">
        <x:f>IF(OR(R289="",X289=""),"",IFERROR(DATEDIF(R289,X289,"m")/12,""))</x:f>
      </x:c>
      <x:c r="T289" s="60"/>
      <x:c r="U289" s="60"/>
      <x:c r="V289" s="60"/>
      <x:c r="W289" s="63"/>
      <x:c r="X289" s="65" t="n">
        <x:f>TODAY()</x:f>
        <x:v>46250</x:v>
      </x:c>
    </x:row>
    <x:row r="290">
      <x:c r="A290" s="59" t="str">
        <x:v>HABTAI</x:v>
      </x:c>
      <x:c r="B290" s="60" t="str">
        <x:v>TEDROS</x:v>
      </x:c>
      <x:c r="C290" s="60" t="str">
        <x:v>ABEBE</x:v>
      </x:c>
      <x:c r="D290" s="61" t="n">
        <x:v>30225.5</x:v>
      </x:c>
      <x:c r="E290" s="62" t="n">
        <x:f>IF(OR(D290="",X290=""),"",IFERROR(DATEDIF(D290,X290,"y"),""))</x:f>
        <x:v>43</x:v>
      </x:c>
      <x:c r="F290" s="60"/>
      <x:c r="G290" s="63"/>
      <x:c r="H290" s="63"/>
      <x:c r="I290" s="61"/>
      <x:c r="J290" s="64" t="str">
        <x:f>IF(OR(I290="",X290=""),"",IFERROR(DATEDIF(I290,X290,"m")/12,""))</x:f>
      </x:c>
      <x:c r="K290" s="60"/>
      <x:c r="L290" s="60"/>
      <x:c r="M290" s="60"/>
      <x:c r="N290" s="60"/>
      <x:c r="O290" s="61"/>
      <x:c r="P290" s="64" t="str">
        <x:f>IF(OR(O290="",I290=""),"",IFERROR(DATEDIF(O290,I290,"m")/12,""))</x:f>
      </x:c>
      <x:c r="Q290" s="60"/>
      <x:c r="R290" s="61"/>
      <x:c r="S290" s="64" t="str">
        <x:f>IF(OR(R290="",X290=""),"",IFERROR(DATEDIF(R290,X290,"m")/12,""))</x:f>
      </x:c>
      <x:c r="T290" s="60"/>
      <x:c r="U290" s="60"/>
      <x:c r="V290" s="60"/>
      <x:c r="W290" s="63"/>
      <x:c r="X290" s="65" t="n">
        <x:f>TODAY()</x:f>
        <x:v>46250</x:v>
      </x:c>
    </x:row>
    <x:row r="291">
      <x:c r="A291" s="59" t="str">
        <x:v>HAHN</x:v>
      </x:c>
      <x:c r="B291" s="60" t="str">
        <x:v>KEITH</x:v>
      </x:c>
      <x:c r="C291" s="60" t="str">
        <x:v>ROBERT</x:v>
      </x:c>
      <x:c r="D291" s="61" t="n">
        <x:v>29045.5</x:v>
      </x:c>
      <x:c r="E291" s="62" t="n">
        <x:f>IF(OR(D291="",X291=""),"",IFERROR(DATEDIF(D291,X291,"y"),""))</x:f>
        <x:v>47</x:v>
      </x:c>
      <x:c r="F291" s="60" t="str">
        <x:v>HAHN</x:v>
      </x:c>
      <x:c r="G291" s="63" t="str">
        <x:v>07946714405</x:v>
      </x:c>
      <x:c r="H291" s="63"/>
      <x:c r="I291" s="61" t="n">
        <x:v>43922.5</x:v>
      </x:c>
      <x:c r="J291" s="64" t="n">
        <x:f>IF(OR(I291="",X291=""),"",IFERROR(DATEDIF(I291,X291,"m")/12,""))</x:f>
        <x:v>6.333333333333333</x:v>
      </x:c>
      <x:c r="K291" s="60" t="str">
        <x:v>ROOM 8, 51 CLAPHAM COMMON SOUTH SIDE, LONDON, SW4 9BX</x:v>
      </x:c>
      <x:c r="L291" s="60" t="str">
        <x:v> SW4 9BX</x:v>
      </x:c>
      <x:c r="M291" s="60"/>
      <x:c r="N291" s="60" t="str">
        <x:v>SW4 9BX</x:v>
      </x:c>
      <x:c r="O291" s="61" t="n">
        <x:v>42064.5</x:v>
      </x:c>
      <x:c r="P291" s="64" t="n">
        <x:f>IF(OR(O291="",I291=""),"",IFERROR(DATEDIF(O291,I291,"m")/12,""))</x:f>
        <x:v>5.083333333333333</x:v>
      </x:c>
      <x:c r="Q291" s="60"/>
      <x:c r="R291" s="61" t="n">
        <x:v>42064.5</x:v>
      </x:c>
      <x:c r="S291" s="64" t="n">
        <x:f>IF(OR(R291="",X291=""),"",IFERROR(DATEDIF(R291,X291,"m")/12,""))</x:f>
        <x:v>11.416666666666666</x:v>
      </x:c>
      <x:c r="T291" s="60" t="str">
        <x:v>FITNESS INSTRUCTOR</x:v>
      </x:c>
      <x:c r="U291" s="60" t="str">
        <x:v>C.O.D.E FIT LIMITED</x:v>
      </x:c>
      <x:c r="V291" s="60" t="str">
        <x:v>39 WHITEHALL, LONDON SW1A 2BX</x:v>
      </x:c>
      <x:c r="W291" s="63"/>
      <x:c r="X291" s="65" t="n">
        <x:f>TODAY()</x:f>
        <x:v>46250</x:v>
      </x:c>
    </x:row>
    <x:row r="292">
      <x:c r="A292" s="59" t="str">
        <x:v>HALAS</x:v>
      </x:c>
      <x:c r="B292" s="60" t="str">
        <x:v>CHRISTOPHER</x:v>
      </x:c>
      <x:c r="C292" s="60" t="str">
        <x:v>DAVID</x:v>
      </x:c>
      <x:c r="D292" s="61" t="n">
        <x:v>30056.5</x:v>
      </x:c>
      <x:c r="E292" s="62" t="n">
        <x:f>IF(OR(D292="",X292=""),"",IFERROR(DATEDIF(D292,X292,"y"),""))</x:f>
        <x:v>44</x:v>
      </x:c>
      <x:c r="F292" s="60"/>
      <x:c r="G292" s="63"/>
      <x:c r="H292" s="63"/>
      <x:c r="I292" s="61"/>
      <x:c r="J292" s="64" t="str">
        <x:f>IF(OR(I292="",X292=""),"",IFERROR(DATEDIF(I292,X292,"m")/12,""))</x:f>
      </x:c>
      <x:c r="K292" s="60" t="str">
        <x:v>FLAT 5, 20 CLEVELAND SQUARE, LONDON, W2 6DG</x:v>
      </x:c>
      <x:c r="L292" s="60" t="str">
        <x:v> W2 6DG</x:v>
      </x:c>
      <x:c r="M292" s="60"/>
      <x:c r="N292" s="60" t="str">
        <x:v>W2 6DG</x:v>
      </x:c>
      <x:c r="O292" s="61"/>
      <x:c r="P292" s="64" t="str">
        <x:f>IF(OR(O292="",I292=""),"",IFERROR(DATEDIF(O292,I292,"m")/12,""))</x:f>
      </x:c>
      <x:c r="Q292" s="60"/>
      <x:c r="R292" s="61" t="n">
        <x:v>40909.5</x:v>
      </x:c>
      <x:c r="S292" s="64" t="n">
        <x:f>IF(OR(R292="",X292=""),"",IFERROR(DATEDIF(R292,X292,"m")/12,""))</x:f>
        <x:v>14.583333333333334</x:v>
      </x:c>
      <x:c r="T292" s="60" t="str">
        <x:v>SENIOR CONSULTANT</x:v>
      </x:c>
      <x:c r="U292" s="60" t="str">
        <x:v>OXERA CONSULTING LLP</x:v>
      </x:c>
      <x:c r="V292" s="60" t="str">
        <x:v>17TH FLOOR, 14TH AND, 200 ALDERSGATE ST, LONDON EC1A 4HD</x:v>
      </x:c>
      <x:c r="W292" s="63" t="str">
        <x:v>0207 7766 600</x:v>
      </x:c>
      <x:c r="X292" s="65" t="n">
        <x:f>TODAY()</x:f>
        <x:v>46250</x:v>
      </x:c>
    </x:row>
    <x:row r="293">
      <x:c r="A293" s="59" t="str">
        <x:v>HALBOUNY</x:v>
      </x:c>
      <x:c r="B293" s="60" t="str">
        <x:v>HESHAM</x:v>
      </x:c>
      <x:c r="C293" s="60" t="str">
        <x:v>HAMDY</x:v>
      </x:c>
      <x:c r="D293" s="61"/>
      <x:c r="E293" s="62" t="str">
        <x:f>IF(OR(D293="",X293=""),"",IFERROR(DATEDIF(D293,X293,"y"),""))</x:f>
      </x:c>
      <x:c r="F293" s="60"/>
      <x:c r="G293" s="63"/>
      <x:c r="H293" s="63"/>
      <x:c r="I293" s="61"/>
      <x:c r="J293" s="64" t="str">
        <x:f>IF(OR(I293="",X293=""),"",IFERROR(DATEDIF(I293,X293,"m")/12,""))</x:f>
      </x:c>
      <x:c r="K293" s="60" t="str">
        <x:v>FLAT 9,33-35 DRAYCOTT PLACE, LONDON, SW3 2SH</x:v>
      </x:c>
      <x:c r="L293" s="60" t="str">
        <x:v> SW3 2SH</x:v>
      </x:c>
      <x:c r="M293" s="60"/>
      <x:c r="N293" s="60" t="str">
        <x:v>SW3 2SH</x:v>
      </x:c>
      <x:c r="O293" s="61"/>
      <x:c r="P293" s="64" t="str">
        <x:f>IF(OR(O293="",I293=""),"",IFERROR(DATEDIF(O293,I293,"m")/12,""))</x:f>
      </x:c>
      <x:c r="Q293" s="60"/>
      <x:c r="R293" s="61"/>
      <x:c r="S293" s="64" t="str">
        <x:f>IF(OR(R293="",X293=""),"",IFERROR(DATEDIF(R293,X293,"m")/12,""))</x:f>
      </x:c>
      <x:c r="T293" s="60"/>
      <x:c r="U293" s="60"/>
      <x:c r="V293" s="60"/>
      <x:c r="W293" s="63"/>
      <x:c r="X293" s="65" t="n">
        <x:f>TODAY()</x:f>
        <x:v>46250</x:v>
      </x:c>
    </x:row>
    <x:row r="294">
      <x:c r="A294" s="59" t="str">
        <x:v>HAMILTON</x:v>
      </x:c>
      <x:c r="B294" s="60" t="str">
        <x:v>JOHN</x:v>
      </x:c>
      <x:c r="C294" s="60" t="str">
        <x:v>ANDREW</x:v>
      </x:c>
      <x:c r="D294" s="61" t="n">
        <x:v>28529.5</x:v>
      </x:c>
      <x:c r="E294" s="62" t="n">
        <x:f>IF(OR(D294="",X294=""),"",IFERROR(DATEDIF(D294,X294,"y"),""))</x:f>
        <x:v>48</x:v>
      </x:c>
      <x:c r="F294" s="60" t="str">
        <x:v>DOUGLAS</x:v>
      </x:c>
      <x:c r="G294" s="63"/>
      <x:c r="H294" s="63"/>
      <x:c r="I294" s="61"/>
      <x:c r="J294" s="64" t="str">
        <x:f>IF(OR(I294="",X294=""),"",IFERROR(DATEDIF(I294,X294,"m")/12,""))</x:f>
      </x:c>
      <x:c r="K294" s="60" t="str">
        <x:v>FLAT 12 40 REDCLIFFE SQUARE, LONDON, LONDON, SW10 9HQ</x:v>
      </x:c>
      <x:c r="L294" s="60" t="str">
        <x:v> LONDON, SW10 9HQ</x:v>
      </x:c>
      <x:c r="M294" s="60"/>
      <x:c r="N294" s="60" t="str">
        <x:v> SW10 9HQ</x:v>
      </x:c>
      <x:c r="O294" s="61"/>
      <x:c r="P294" s="64" t="str">
        <x:f>IF(OR(O294="",I294=""),"",IFERROR(DATEDIF(O294,I294,"m")/12,""))</x:f>
      </x:c>
      <x:c r="Q294" s="60"/>
      <x:c r="R294" s="61"/>
      <x:c r="S294" s="64" t="str">
        <x:f>IF(OR(R294="",X294=""),"",IFERROR(DATEDIF(R294,X294,"m")/12,""))</x:f>
      </x:c>
      <x:c r="T294" s="60"/>
      <x:c r="U294" s="60"/>
      <x:c r="V294" s="60"/>
      <x:c r="W294" s="63"/>
      <x:c r="X294" s="65" t="n">
        <x:f>TODAY()</x:f>
        <x:v>46250</x:v>
      </x:c>
    </x:row>
    <x:row r="295">
      <x:c r="A295" s="59" t="str">
        <x:v>HAMMOND</x:v>
      </x:c>
      <x:c r="B295" s="60" t="str">
        <x:v>HAYDN</x:v>
      </x:c>
      <x:c r="C295" s="60" t="str">
        <x:v>JOHN</x:v>
      </x:c>
      <x:c r="D295" s="61" t="n">
        <x:v>26739.5</x:v>
      </x:c>
      <x:c r="E295" s="62" t="n">
        <x:f>IF(OR(D295="",X295=""),"",IFERROR(DATEDIF(D295,X295,"y"),""))</x:f>
        <x:v>53</x:v>
      </x:c>
      <x:c r="F295" s="60"/>
      <x:c r="G295" s="63"/>
      <x:c r="H295" s="63"/>
      <x:c r="I295" s="61"/>
      <x:c r="J295" s="64" t="str">
        <x:f>IF(OR(I295="",X295=""),"",IFERROR(DATEDIF(I295,X295,"m")/12,""))</x:f>
      </x:c>
      <x:c r="K295" s="60" t="str">
        <x:v>FLAT 2, 4 QUEENS GATE PLACE, LONDON, SW7 5NT</x:v>
      </x:c>
      <x:c r="L295" s="60" t="str">
        <x:v> SW7 5NT</x:v>
      </x:c>
      <x:c r="M295" s="60"/>
      <x:c r="N295" s="60" t="str">
        <x:v>SW7 5NT</x:v>
      </x:c>
      <x:c r="O295" s="61"/>
      <x:c r="P295" s="64" t="str">
        <x:f>IF(OR(O295="",I295=""),"",IFERROR(DATEDIF(O295,I295,"m")/12,""))</x:f>
      </x:c>
      <x:c r="Q295" s="60"/>
      <x:c r="R295" s="61"/>
      <x:c r="S295" s="64" t="str">
        <x:f>IF(OR(R295="",X295=""),"",IFERROR(DATEDIF(R295,X295,"m")/12,""))</x:f>
      </x:c>
      <x:c r="T295" s="60"/>
      <x:c r="U295" s="60"/>
      <x:c r="V295" s="60"/>
      <x:c r="W295" s="63"/>
      <x:c r="X295" s="65" t="n">
        <x:f>TODAY()</x:f>
        <x:v>46250</x:v>
      </x:c>
    </x:row>
    <x:row r="296">
      <x:c r="A296" s="59" t="str">
        <x:v>HANKS</x:v>
      </x:c>
      <x:c r="B296" s="60" t="str">
        <x:v>PETER</x:v>
      </x:c>
      <x:c r="C296" s="60" t="str">
        <x:v>KENNETH</x:v>
      </x:c>
      <x:c r="D296" s="61" t="n">
        <x:v>22871.5</x:v>
      </x:c>
      <x:c r="E296" s="62" t="n">
        <x:f>IF(OR(D296="",X296=""),"",IFERROR(DATEDIF(D296,X296,"y"),""))</x:f>
        <x:v>64</x:v>
      </x:c>
      <x:c r="F296" s="60" t="str">
        <x:v>NIXON</x:v>
      </x:c>
      <x:c r="G296" s="63" t="str">
        <x:v>07932038876</x:v>
      </x:c>
      <x:c r="H296" s="63"/>
      <x:c r="I296" s="61" t="n">
        <x:v>42491.5</x:v>
      </x:c>
      <x:c r="J296" s="64" t="n">
        <x:f>IF(OR(I296="",X296=""),"",IFERROR(DATEDIF(I296,X296,"m")/12,""))</x:f>
        <x:v>10.25</x:v>
      </x:c>
      <x:c r="K296" s="60" t="str">
        <x:v>FLAT 17, AMBASSADOR COURT 17-19 CRAVEN TERRACE LONDON, W23QH</x:v>
      </x:c>
      <x:c r="L296" s="60" t="str">
        <x:v> W23QH</x:v>
      </x:c>
      <x:c r="M296" s="60"/>
      <x:c r="N296" s="60" t="str">
        <x:v>W23QH</x:v>
      </x:c>
      <x:c r="O296" s="61"/>
      <x:c r="P296" s="64" t="str">
        <x:f>IF(OR(O296="",I296=""),"",IFERROR(DATEDIF(O296,I296,"m")/12,""))</x:f>
      </x:c>
      <x:c r="Q296" s="60"/>
      <x:c r="R296" s="61"/>
      <x:c r="S296" s="64" t="str">
        <x:f>IF(OR(R296="",X296=""),"",IFERROR(DATEDIF(R296,X296,"m")/12,""))</x:f>
      </x:c>
      <x:c r="T296" s="60" t="str">
        <x:v>PETE HANKS BUILDING SERVICES LANCASTER GATE LTD</x:v>
      </x:c>
      <x:c r="U296" s="60"/>
      <x:c r="V296" s="60"/>
      <x:c r="W296" s="63"/>
      <x:c r="X296" s="65" t="n">
        <x:f>TODAY()</x:f>
        <x:v>46250</x:v>
      </x:c>
    </x:row>
    <x:row r="297">
      <x:c r="A297" s="59" t="str">
        <x:v>HANNAGAN</x:v>
      </x:c>
      <x:c r="B297" s="60" t="str">
        <x:v>PAUL</x:v>
      </x:c>
      <x:c r="C297" s="60" t="str">
        <x:v>JAMES</x:v>
      </x:c>
      <x:c r="D297" s="61" t="n">
        <x:v>32547.5</x:v>
      </x:c>
      <x:c r="E297" s="62" t="n">
        <x:f>IF(OR(D297="",X297=""),"",IFERROR(DATEDIF(D297,X297,"y"),""))</x:f>
        <x:v>37</x:v>
      </x:c>
      <x:c r="F297" s="60"/>
      <x:c r="G297" s="63"/>
      <x:c r="H297" s="63"/>
      <x:c r="I297" s="61"/>
      <x:c r="J297" s="64" t="str">
        <x:f>IF(OR(I297="",X297=""),"",IFERROR(DATEDIF(I297,X297,"m")/12,""))</x:f>
      </x:c>
      <x:c r="K297" s="60" t="str">
        <x:v>FLAT 10, 1 EARLS COURT SQUARE, LONDON, SW5 9BY</x:v>
      </x:c>
      <x:c r="L297" s="60" t="str">
        <x:v> SW5 9BY</x:v>
      </x:c>
      <x:c r="M297" s="60"/>
      <x:c r="N297" s="60" t="str">
        <x:v>SW5 9BY</x:v>
      </x:c>
      <x:c r="O297" s="61"/>
      <x:c r="P297" s="64" t="str">
        <x:f>IF(OR(O297="",I297=""),"",IFERROR(DATEDIF(O297,I297,"m")/12,""))</x:f>
      </x:c>
      <x:c r="Q297" s="60"/>
      <x:c r="R297" s="61"/>
      <x:c r="S297" s="64" t="str">
        <x:f>IF(OR(R297="",X297=""),"",IFERROR(DATEDIF(R297,X297,"m")/12,""))</x:f>
      </x:c>
      <x:c r="T297" s="60"/>
      <x:c r="U297" s="60"/>
      <x:c r="V297" s="60"/>
      <x:c r="W297" s="63"/>
      <x:c r="X297" s="65" t="n">
        <x:f>TODAY()</x:f>
        <x:v>46250</x:v>
      </x:c>
    </x:row>
    <x:row r="298">
      <x:c r="A298" s="59" t="str">
        <x:v>HANNAGAN-KOJIMA</x:v>
      </x:c>
      <x:c r="B298" s="60" t="str">
        <x:v>KIE</x:v>
      </x:c>
      <x:c r="C298" s="60"/>
      <x:c r="D298" s="61" t="n">
        <x:v>31572.5</x:v>
      </x:c>
      <x:c r="E298" s="62" t="n">
        <x:f>IF(OR(D298="",X298=""),"",IFERROR(DATEDIF(D298,X298,"y"),""))</x:f>
        <x:v>40</x:v>
      </x:c>
      <x:c r="F298" s="60"/>
      <x:c r="G298" s="63"/>
      <x:c r="H298" s="63"/>
      <x:c r="I298" s="61"/>
      <x:c r="J298" s="64" t="str">
        <x:f>IF(OR(I298="",X298=""),"",IFERROR(DATEDIF(I298,X298,"m")/12,""))</x:f>
      </x:c>
      <x:c r="K298" s="60" t="str">
        <x:v>FLAT 10, 1 EARLS COURT SQUARE, LONDON, SW5 9BY</x:v>
      </x:c>
      <x:c r="L298" s="60" t="str">
        <x:v> SW5 9BY</x:v>
      </x:c>
      <x:c r="M298" s="60"/>
      <x:c r="N298" s="60" t="str">
        <x:v>SW5 9BY</x:v>
      </x:c>
      <x:c r="O298" s="61"/>
      <x:c r="P298" s="64" t="str">
        <x:f>IF(OR(O298="",I298=""),"",IFERROR(DATEDIF(O298,I298,"m")/12,""))</x:f>
      </x:c>
      <x:c r="Q298" s="60"/>
      <x:c r="R298" s="61"/>
      <x:c r="S298" s="64" t="str">
        <x:f>IF(OR(R298="",X298=""),"",IFERROR(DATEDIF(R298,X298,"m")/12,""))</x:f>
      </x:c>
      <x:c r="T298" s="60"/>
      <x:c r="U298" s="60"/>
      <x:c r="V298" s="60"/>
      <x:c r="W298" s="63"/>
      <x:c r="X298" s="65" t="n">
        <x:f>TODAY()</x:f>
        <x:v>46250</x:v>
      </x:c>
    </x:row>
    <x:row r="299">
      <x:c r="A299" s="59" t="str">
        <x:v>HARMAN</x:v>
      </x:c>
      <x:c r="B299" s="60" t="str">
        <x:v>WILLIAM</x:v>
      </x:c>
      <x:c r="C299" s="60" t="str">
        <x:v>ROBERT</x:v>
      </x:c>
      <x:c r="D299" s="61"/>
      <x:c r="E299" s="62" t="str">
        <x:f>IF(OR(D299="",X299=""),"",IFERROR(DATEDIF(D299,X299,"y"),""))</x:f>
      </x:c>
      <x:c r="F299" s="60" t="str">
        <x:v>RUTHERFORD</x:v>
      </x:c>
      <x:c r="G299" s="63"/>
      <x:c r="H299" s="63"/>
      <x:c r="I299" s="61" t="n">
        <x:v>43160.5</x:v>
      </x:c>
      <x:c r="J299" s="64" t="n">
        <x:f>IF(OR(I299="",X299=""),"",IFERROR(DATEDIF(I299,X299,"m")/12,""))</x:f>
        <x:v>8.416666666666666</x:v>
      </x:c>
      <x:c r="K299" s="60" t="str">
        <x:v>FLAT 2, RUPERT HOUSE, NEVERN SQUARE, LONDON, SW59PL</x:v>
      </x:c>
      <x:c r="L299" s="60" t="str">
        <x:v> SW59PL</x:v>
      </x:c>
      <x:c r="M299" s="60"/>
      <x:c r="N299" s="60" t="str">
        <x:v>SW59PL</x:v>
      </x:c>
      <x:c r="O299" s="61" t="n">
        <x:v>42583.5</x:v>
      </x:c>
      <x:c r="P299" s="64" t="n">
        <x:f>IF(OR(O299="",I299=""),"",IFERROR(DATEDIF(O299,I299,"m")/12,""))</x:f>
        <x:v>1.5833333333333333</x:v>
      </x:c>
      <x:c r="Q299" s="60" t="str">
        <x:v>3RD FLOOR, 16, PEMBRIDGE ROAD, LONDON, W11 3HL</x:v>
      </x:c>
      <x:c r="R299" s="61"/>
      <x:c r="S299" s="64" t="str">
        <x:f>IF(OR(R299="",X299=""),"",IFERROR(DATEDIF(R299,X299,"m")/12,""))</x:f>
      </x:c>
      <x:c r="T299" s="60"/>
      <x:c r="U299" s="60"/>
      <x:c r="V299" s="60"/>
      <x:c r="W299" s="63"/>
      <x:c r="X299" s="65" t="n">
        <x:f>TODAY()</x:f>
        <x:v>46250</x:v>
      </x:c>
    </x:row>
    <x:row r="300">
      <x:c r="A300" s="59" t="str">
        <x:v>HARRISON</x:v>
      </x:c>
      <x:c r="B300" s="60" t="str">
        <x:v>STEPHANIE</x:v>
      </x:c>
      <x:c r="C300" s="60" t="str">
        <x:v>KATHLEEN</x:v>
      </x:c>
      <x:c r="D300" s="61" t="n">
        <x:v>33636.5</x:v>
      </x:c>
      <x:c r="E300" s="62" t="n">
        <x:f>IF(OR(D300="",X300=""),"",IFERROR(DATEDIF(D300,X300,"y"),""))</x:f>
        <x:v>34</x:v>
      </x:c>
      <x:c r="F300" s="60"/>
      <x:c r="G300" s="63" t="str">
        <x:v>07946714368</x:v>
      </x:c>
      <x:c r="H300" s="63"/>
      <x:c r="I300" s="61"/>
      <x:c r="J300" s="64" t="str">
        <x:f>IF(OR(I300="",X300=""),"",IFERROR(DATEDIF(I300,X300,"m")/12,""))</x:f>
      </x:c>
      <x:c r="K300" s="60"/>
      <x:c r="L300" s="60"/>
      <x:c r="M300" s="60"/>
      <x:c r="N300" s="60"/>
      <x:c r="O300" s="61"/>
      <x:c r="P300" s="64" t="str">
        <x:f>IF(OR(O300="",I300=""),"",IFERROR(DATEDIF(O300,I300,"m")/12,""))</x:f>
      </x:c>
      <x:c r="Q300" s="60"/>
      <x:c r="R300" s="61"/>
      <x:c r="S300" s="64" t="str">
        <x:f>IF(OR(R300="",X300=""),"",IFERROR(DATEDIF(R300,X300,"m")/12,""))</x:f>
      </x:c>
      <x:c r="T300" s="60"/>
      <x:c r="U300" s="60"/>
      <x:c r="V300" s="60"/>
      <x:c r="W300" s="63"/>
      <x:c r="X300" s="65" t="n">
        <x:f>TODAY()</x:f>
        <x:v>46250</x:v>
      </x:c>
    </x:row>
    <x:row r="301">
      <x:c r="A301" s="59" t="str">
        <x:v>HARVIE</x:v>
      </x:c>
      <x:c r="B301" s="60" t="str">
        <x:v>CHRISTOPHER</x:v>
      </x:c>
      <x:c r="C301" s="60" t="str">
        <x:v>DAVID</x:v>
      </x:c>
      <x:c r="D301" s="61" t="n">
        <x:v>35290.5</x:v>
      </x:c>
      <x:c r="E301" s="62" t="n">
        <x:f>IF(OR(D301="",X301=""),"",IFERROR(DATEDIF(D301,X301,"y"),""))</x:f>
        <x:v>30</x:v>
      </x:c>
      <x:c r="F301" s="60" t="str">
        <x:v>WHITNELL</x:v>
      </x:c>
      <x:c r="G301" s="63"/>
      <x:c r="H301" s="63" t="str">
        <x:v>PB277510C</x:v>
      </x:c>
      <x:c r="I301" s="61" t="n">
        <x:v>43739.5</x:v>
      </x:c>
      <x:c r="J301" s="64" t="n">
        <x:f>IF(OR(I301="",X301=""),"",IFERROR(DATEDIF(I301,X301,"m")/12,""))</x:f>
        <x:v>6.833333333333333</x:v>
      </x:c>
      <x:c r="K301" s="60" t="str">
        <x:v>FLAT 9, 33 ST JOHNS HILL, LONDON, SW11 1TT</x:v>
      </x:c>
      <x:c r="L301" s="60" t="str">
        <x:v> SW11 1TT</x:v>
      </x:c>
      <x:c r="M301" s="60"/>
      <x:c r="N301" s="60" t="str">
        <x:v>SW11 1TT</x:v>
      </x:c>
      <x:c r="O301" s="61" t="n">
        <x:v>40452.5</x:v>
      </x:c>
      <x:c r="P301" s="64" t="n">
        <x:f>IF(OR(O301="",I301=""),"",IFERROR(DATEDIF(O301,I301,"m")/12,""))</x:f>
        <x:v>9</x:v>
      </x:c>
      <x:c r="Q301" s="60" t="str">
        <x:v>12, CUCKOO BUSHES LANE, EASTLEIGH, HAMPSHIRE, SO53 1JX</x:v>
      </x:c>
      <x:c r="R301" s="61" t="n">
        <x:v>44501.5</x:v>
      </x:c>
      <x:c r="S301" s="64" t="n">
        <x:f>IF(OR(R301="",X301=""),"",IFERROR(DATEDIF(R301,X301,"m")/12,""))</x:f>
        <x:v>4.75</x:v>
      </x:c>
      <x:c r="T301" s="60" t="str">
        <x:v>ASSOCIATE PRODUCT MANAGER</x:v>
      </x:c>
      <x:c r="U301" s="60" t="str">
        <x:v>AMERICAN EXPRESS</x:v>
      </x:c>
      <x:c r="V301" s="60" t="str">
        <x:v>BELGRAVE HOUSE, 76 BUCKINGHAM PALACE RD, LONDON SW1W 9AX</x:v>
      </x:c>
      <x:c r="W301" s="63" t="str">
        <x:v>0800 587 4000</x:v>
      </x:c>
      <x:c r="X301" s="65" t="n">
        <x:f>TODAY()</x:f>
        <x:v>46250</x:v>
      </x:c>
    </x:row>
    <x:row r="302">
      <x:c r="A302" s="59" t="str">
        <x:v>HASTINGS</x:v>
      </x:c>
      <x:c r="B302" s="60" t="str">
        <x:v>KEVIN</x:v>
      </x:c>
      <x:c r="C302" s="60" t="str">
        <x:v>MAURICE</x:v>
      </x:c>
      <x:c r="D302" s="61" t="n">
        <x:v>25451.5</x:v>
      </x:c>
      <x:c r="E302" s="62" t="n">
        <x:f>IF(OR(D302="",X302=""),"",IFERROR(DATEDIF(D302,X302,"y"),""))</x:f>
        <x:v>56</x:v>
      </x:c>
      <x:c r="F302" s="60" t="str">
        <x:v>SOUNDY</x:v>
      </x:c>
      <x:c r="G302" s="63" t="str">
        <x:v>07553416093</x:v>
      </x:c>
      <x:c r="H302" s="63"/>
      <x:c r="I302" s="61"/>
      <x:c r="J302" s="64" t="str">
        <x:f>IF(OR(I302="",X302=""),"",IFERROR(DATEDIF(I302,X302,"m")/12,""))</x:f>
      </x:c>
      <x:c r="K302" s="60"/>
      <x:c r="L302" s="60"/>
      <x:c r="M302" s="60"/>
      <x:c r="N302" s="60"/>
      <x:c r="O302" s="61"/>
      <x:c r="P302" s="64" t="str">
        <x:f>IF(OR(O302="",I302=""),"",IFERROR(DATEDIF(O302,I302,"m")/12,""))</x:f>
      </x:c>
      <x:c r="Q302" s="60"/>
      <x:c r="R302" s="61"/>
      <x:c r="S302" s="64" t="str">
        <x:f>IF(OR(R302="",X302=""),"",IFERROR(DATEDIF(R302,X302,"m")/12,""))</x:f>
      </x:c>
      <x:c r="T302" s="60"/>
      <x:c r="U302" s="60"/>
      <x:c r="V302" s="60"/>
      <x:c r="W302" s="63"/>
      <x:c r="X302" s="65" t="n">
        <x:f>TODAY()</x:f>
        <x:v>46250</x:v>
      </x:c>
    </x:row>
    <x:row r="303">
      <x:c r="A303" s="59" t="str">
        <x:v>HAYON</x:v>
      </x:c>
      <x:c r="B303" s="60" t="str">
        <x:v>YOHAI</x:v>
      </x:c>
      <x:c r="C303" s="60" t="str">
        <x:v>DEJONG</x:v>
      </x:c>
      <x:c r="D303" s="61" t="n">
        <x:v>30075.5</x:v>
      </x:c>
      <x:c r="E303" s="62" t="n">
        <x:f>IF(OR(D303="",X303=""),"",IFERROR(DATEDIF(D303,X303,"y"),""))</x:f>
        <x:v>44</x:v>
      </x:c>
      <x:c r="F303" s="60"/>
      <x:c r="G303" s="63"/>
      <x:c r="H303" s="63"/>
      <x:c r="I303" s="61" t="n">
        <x:v>42583.5</x:v>
      </x:c>
      <x:c r="J303" s="64" t="n">
        <x:f>IF(OR(I303="",X303=""),"",IFERROR(DATEDIF(I303,X303,"m")/12,""))</x:f>
        <x:v>10</x:v>
      </x:c>
      <x:c r="K303" s="60" t="str">
        <x:v>33 WOOD LANE, LONDON, SW12 7DP</x:v>
      </x:c>
      <x:c r="L303" s="60" t="str">
        <x:v> SW12 7DP</x:v>
      </x:c>
      <x:c r="M303" s="60"/>
      <x:c r="N303" s="60" t="str">
        <x:v>SW12 7DP</x:v>
      </x:c>
      <x:c r="O303" s="61" t="n">
        <x:v>40299.5</x:v>
      </x:c>
      <x:c r="P303" s="64" t="n">
        <x:f>IF(OR(O303="",I303=""),"",IFERROR(DATEDIF(O303,I303,"m")/12,""))</x:f>
        <x:v>6.25</x:v>
      </x:c>
      <x:c r="Q303" s="60" t="str">
        <x:v>129 STATION ROAD, LONDON, NW4 4NJ</x:v>
      </x:c>
      <x:c r="R303" s="61"/>
      <x:c r="S303" s="64" t="str">
        <x:f>IF(OR(R303="",X303=""),"",IFERROR(DATEDIF(R303,X303,"m")/12,""))</x:f>
      </x:c>
      <x:c r="T303" s="60"/>
      <x:c r="U303" s="60"/>
      <x:c r="V303" s="60"/>
      <x:c r="W303" s="63"/>
      <x:c r="X303" s="65" t="n">
        <x:f>TODAY()</x:f>
        <x:v>46250</x:v>
      </x:c>
    </x:row>
    <x:row r="304">
      <x:c r="A304" s="59" t="str">
        <x:v>HAYWARD</x:v>
      </x:c>
      <x:c r="B304" s="60" t="str">
        <x:v>DUNCAN</x:v>
      </x:c>
      <x:c r="C304" s="60" t="str">
        <x:v>WILLIAM</x:v>
      </x:c>
      <x:c r="D304" s="61" t="n">
        <x:v>30042.5</x:v>
      </x:c>
      <x:c r="E304" s="62" t="n">
        <x:f>IF(OR(D304="",X304=""),"",IFERROR(DATEDIF(D304,X304,"y"),""))</x:f>
        <x:v>44</x:v>
      </x:c>
      <x:c r="F304" s="60" t="str">
        <x:v>COOK</x:v>
      </x:c>
      <x:c r="G304" s="63" t="str">
        <x:v>07535639054</x:v>
      </x:c>
      <x:c r="H304" s="63"/>
      <x:c r="I304" s="61" t="n">
        <x:v>42948.5</x:v>
      </x:c>
      <x:c r="J304" s="64" t="n">
        <x:f>IF(OR(I304="",X304=""),"",IFERROR(DATEDIF(I304,X304,"m")/12,""))</x:f>
        <x:v>9</x:v>
      </x:c>
      <x:c r="K304" s="60" t="str">
        <x:v>FLAT 7, BROOK HOUSE, 47-48, CLAPHAM COMMON SOUTH SIDE, CLAPHAM, LONDON, SW4 9BX</x:v>
      </x:c>
      <x:c r="L304" s="60" t="str">
        <x:v> SW4 9BX</x:v>
      </x:c>
      <x:c r="M304" s="60"/>
      <x:c r="N304" s="60" t="str">
        <x:v>SW4 9BX</x:v>
      </x:c>
      <x:c r="O304" s="61" t="n">
        <x:v>39692.5</x:v>
      </x:c>
      <x:c r="P304" s="64" t="n">
        <x:f>IF(OR(O304="",I304=""),"",IFERROR(DATEDIF(O304,I304,"m")/12,""))</x:f>
        <x:v>8.916666666666666</x:v>
      </x:c>
      <x:c r="Q304" s="60" t="str">
        <x:v>FLAT 3, MILBURN HOUSE, WEST BARNES LANE, WEST WIMBLEDON, LONDON, SW20 0BX</x:v>
      </x:c>
      <x:c r="R304" s="61" t="n">
        <x:v>43525.5</x:v>
      </x:c>
      <x:c r="S304" s="64" t="n">
        <x:f>IF(OR(R304="",X304=""),"",IFERROR(DATEDIF(R304,X304,"m")/12,""))</x:f>
        <x:v>7.416666666666667</x:v>
      </x:c>
      <x:c r="T304" s="60"/>
      <x:c r="U304" s="60"/>
      <x:c r="V304" s="60"/>
      <x:c r="W304" s="63"/>
      <x:c r="X304" s="65" t="n">
        <x:f>TODAY()</x:f>
        <x:v>46250</x:v>
      </x:c>
    </x:row>
    <x:row r="305">
      <x:c r="A305" s="59" t="str">
        <x:v>HEAD</x:v>
      </x:c>
      <x:c r="B305" s="60" t="str">
        <x:v>PETER</x:v>
      </x:c>
      <x:c r="C305" s="60"/>
      <x:c r="D305" s="61" t="n">
        <x:v>20275.5</x:v>
      </x:c>
      <x:c r="E305" s="62" t="n">
        <x:f>IF(OR(D305="",X305=""),"",IFERROR(DATEDIF(D305,X305,"y"),""))</x:f>
        <x:v>71</x:v>
      </x:c>
      <x:c r="F305" s="60" t="str">
        <x:v>WILKINSON</x:v>
      </x:c>
      <x:c r="G305" s="63"/>
      <x:c r="H305" s="63"/>
      <x:c r="I305" s="61" t="n">
        <x:v>43556.5</x:v>
      </x:c>
      <x:c r="J305" s="64" t="n">
        <x:f>IF(OR(I305="",X305=""),"",IFERROR(DATEDIF(I305,X305,"m")/12,""))</x:f>
        <x:v>7.333333333333333</x:v>
      </x:c>
      <x:c r="K305" s="60" t="str">
        <x:v>FLAT 1, 20 LENNOX GARDENS, LONDON, SW1X 0DQ</x:v>
      </x:c>
      <x:c r="L305" s="60" t="str">
        <x:v> SW1X 0DQ</x:v>
      </x:c>
      <x:c r="M305" s="60"/>
      <x:c r="N305" s="60" t="str">
        <x:v>SW1X 0DQ</x:v>
      </x:c>
      <x:c r="O305" s="61"/>
      <x:c r="P305" s="64" t="str">
        <x:f>IF(OR(O305="",I305=""),"",IFERROR(DATEDIF(O305,I305,"m")/12,""))</x:f>
      </x:c>
      <x:c r="Q305" s="60"/>
      <x:c r="R305" s="61"/>
      <x:c r="S305" s="64" t="str">
        <x:f>IF(OR(R305="",X305=""),"",IFERROR(DATEDIF(R305,X305,"m")/12,""))</x:f>
      </x:c>
      <x:c r="T305" s="60"/>
      <x:c r="U305" s="60"/>
      <x:c r="V305" s="60"/>
      <x:c r="W305" s="63"/>
      <x:c r="X305" s="65" t="n">
        <x:f>TODAY()</x:f>
        <x:v>46250</x:v>
      </x:c>
    </x:row>
    <x:row r="306">
      <x:c r="A306" s="59" t="str">
        <x:v>HEANEY</x:v>
      </x:c>
      <x:c r="B306" s="60" t="str">
        <x:v>MICHAEL</x:v>
      </x:c>
      <x:c r="C306" s="60" t="str">
        <x:v>JAMES</x:v>
      </x:c>
      <x:c r="D306" s="61" t="n">
        <x:v>27240.5</x:v>
      </x:c>
      <x:c r="E306" s="62" t="n">
        <x:f>IF(OR(D306="",X306=""),"",IFERROR(DATEDIF(D306,X306,"y"),""))</x:f>
        <x:v>52</x:v>
      </x:c>
      <x:c r="F306" s="60"/>
      <x:c r="G306" s="63"/>
      <x:c r="H306" s="63"/>
      <x:c r="I306" s="61" t="n">
        <x:v>40909.5</x:v>
      </x:c>
      <x:c r="J306" s="64" t="n">
        <x:f>IF(OR(I306="",X306=""),"",IFERROR(DATEDIF(I306,X306,"m")/12,""))</x:f>
        <x:v>14.583333333333334</x:v>
      </x:c>
      <x:c r="K306" s="60" t="str">
        <x:v>52 CLAPHAM COMMON SOUTH SIDE, LONDON, SW4 9BX</x:v>
      </x:c>
      <x:c r="L306" s="60" t="str">
        <x:v> SW4 9BX</x:v>
      </x:c>
      <x:c r="M306" s="60"/>
      <x:c r="N306" s="60" t="str">
        <x:v>SW4 9BX</x:v>
      </x:c>
      <x:c r="O306" s="61"/>
      <x:c r="P306" s="64" t="str">
        <x:f>IF(OR(O306="",I306=""),"",IFERROR(DATEDIF(O306,I306,"m")/12,""))</x:f>
      </x:c>
      <x:c r="Q306" s="60"/>
      <x:c r="R306" s="61"/>
      <x:c r="S306" s="64" t="str">
        <x:f>IF(OR(R306="",X306=""),"",IFERROR(DATEDIF(R306,X306,"m")/12,""))</x:f>
      </x:c>
      <x:c r="T306" s="60"/>
      <x:c r="U306" s="60"/>
      <x:c r="V306" s="60"/>
      <x:c r="W306" s="63"/>
      <x:c r="X306" s="65" t="n">
        <x:f>TODAY()</x:f>
        <x:v>46250</x:v>
      </x:c>
    </x:row>
    <x:row r="307">
      <x:c r="A307" s="59" t="str">
        <x:v>HEILESEN</x:v>
      </x:c>
      <x:c r="B307" s="60" t="str">
        <x:v>JULIE</x:v>
      </x:c>
      <x:c r="C307" s="60"/>
      <x:c r="D307" s="61" t="n">
        <x:v>35209.5</x:v>
      </x:c>
      <x:c r="E307" s="62" t="n">
        <x:f>IF(OR(D307="",X307=""),"",IFERROR(DATEDIF(D307,X307,"y"),""))</x:f>
        <x:v>30</x:v>
      </x:c>
      <x:c r="F307" s="60"/>
      <x:c r="G307" s="63"/>
      <x:c r="H307" s="63"/>
      <x:c r="I307" s="61"/>
      <x:c r="J307" s="64" t="str">
        <x:f>IF(OR(I307="",X307=""),"",IFERROR(DATEDIF(I307,X307,"m")/12,""))</x:f>
      </x:c>
      <x:c r="K307" s="60"/>
      <x:c r="L307" s="60"/>
      <x:c r="M307" s="60"/>
      <x:c r="N307" s="60"/>
      <x:c r="O307" s="61"/>
      <x:c r="P307" s="64" t="str">
        <x:f>IF(OR(O307="",I307=""),"",IFERROR(DATEDIF(O307,I307,"m")/12,""))</x:f>
      </x:c>
      <x:c r="Q307" s="60"/>
      <x:c r="R307" s="61"/>
      <x:c r="S307" s="64" t="str">
        <x:f>IF(OR(R307="",X307=""),"",IFERROR(DATEDIF(R307,X307,"m")/12,""))</x:f>
      </x:c>
      <x:c r="T307" s="60"/>
      <x:c r="U307" s="60"/>
      <x:c r="V307" s="60"/>
      <x:c r="W307" s="63"/>
      <x:c r="X307" s="65" t="n">
        <x:f>TODAY()</x:f>
        <x:v>46250</x:v>
      </x:c>
    </x:row>
    <x:row r="308">
      <x:c r="A308" s="59" t="str">
        <x:v>HEMSWORTH</x:v>
      </x:c>
      <x:c r="B308" s="60" t="str">
        <x:v>JACK</x:v>
      </x:c>
      <x:c r="C308" s="60"/>
      <x:c r="D308" s="61" t="n">
        <x:v>33908.5</x:v>
      </x:c>
      <x:c r="E308" s="62" t="n">
        <x:f>IF(OR(D308="",X308=""),"",IFERROR(DATEDIF(D308,X308,"y"),""))</x:f>
        <x:v>33</x:v>
      </x:c>
      <x:c r="F308" s="60" t="str">
        <x:v>ORMEROD</x:v>
      </x:c>
      <x:c r="G308" s="63"/>
      <x:c r="H308" s="63"/>
      <x:c r="I308" s="61"/>
      <x:c r="J308" s="64" t="str">
        <x:f>IF(OR(I308="",X308=""),"",IFERROR(DATEDIF(I308,X308,"m")/12,""))</x:f>
      </x:c>
      <x:c r="K308" s="60"/>
      <x:c r="L308" s="60"/>
      <x:c r="M308" s="60"/>
      <x:c r="N308" s="60"/>
      <x:c r="O308" s="61"/>
      <x:c r="P308" s="64" t="str">
        <x:f>IF(OR(O308="",I308=""),"",IFERROR(DATEDIF(O308,I308,"m")/12,""))</x:f>
      </x:c>
      <x:c r="Q308" s="60"/>
      <x:c r="R308" s="61"/>
      <x:c r="S308" s="64" t="str">
        <x:f>IF(OR(R308="",X308=""),"",IFERROR(DATEDIF(R308,X308,"m")/12,""))</x:f>
      </x:c>
      <x:c r="T308" s="60"/>
      <x:c r="U308" s="60"/>
      <x:c r="V308" s="60"/>
      <x:c r="W308" s="63"/>
      <x:c r="X308" s="65" t="n">
        <x:f>TODAY()</x:f>
        <x:v>46250</x:v>
      </x:c>
    </x:row>
    <x:row r="309">
      <x:c r="A309" s="59" t="str">
        <x:v>HENDRIKSEN</x:v>
      </x:c>
      <x:c r="B309" s="60" t="str">
        <x:v>FREDERIK</x:v>
      </x:c>
      <x:c r="C309" s="60"/>
      <x:c r="D309" s="61" t="n">
        <x:v>33123.5</x:v>
      </x:c>
      <x:c r="E309" s="62" t="n">
        <x:f>IF(OR(D309="",X309=""),"",IFERROR(DATEDIF(D309,X309,"y"),""))</x:f>
        <x:v>35</x:v>
      </x:c>
      <x:c r="F309" s="60"/>
      <x:c r="G309" s="63"/>
      <x:c r="H309" s="63"/>
      <x:c r="I309" s="61"/>
      <x:c r="J309" s="64" t="str">
        <x:f>IF(OR(I309="",X309=""),"",IFERROR(DATEDIF(I309,X309,"m")/12,""))</x:f>
      </x:c>
      <x:c r="K309" s="60" t="str">
        <x:v>FLAT 3, 235 BAKER STREET, LONDON, NW1 6XE</x:v>
      </x:c>
      <x:c r="L309" s="60" t="str">
        <x:v> NW1 6XE</x:v>
      </x:c>
      <x:c r="M309" s="60"/>
      <x:c r="N309" s="60" t="str">
        <x:v>NW1 6XE</x:v>
      </x:c>
      <x:c r="O309" s="61"/>
      <x:c r="P309" s="64" t="str">
        <x:f>IF(OR(O309="",I309=""),"",IFERROR(DATEDIF(O309,I309,"m")/12,""))</x:f>
      </x:c>
      <x:c r="Q309" s="60"/>
      <x:c r="R309" s="61"/>
      <x:c r="S309" s="64" t="str">
        <x:f>IF(OR(R309="",X309=""),"",IFERROR(DATEDIF(R309,X309,"m")/12,""))</x:f>
      </x:c>
      <x:c r="T309" s="60"/>
      <x:c r="U309" s="60"/>
      <x:c r="V309" s="60"/>
      <x:c r="W309" s="63"/>
      <x:c r="X309" s="65" t="n">
        <x:f>TODAY()</x:f>
        <x:v>46250</x:v>
      </x:c>
    </x:row>
    <x:row r="310">
      <x:c r="A310" s="59" t="str">
        <x:v>HERBERSTEIN</x:v>
      </x:c>
      <x:c r="B310" s="60" t="str">
        <x:v>JOHANN</x:v>
      </x:c>
      <x:c r="C310" s="60" t="str">
        <x:v>MAXIMILIAN</x:v>
      </x:c>
      <x:c r="D310" s="61" t="n">
        <x:v>28192.5</x:v>
      </x:c>
      <x:c r="E310" s="62" t="n">
        <x:f>IF(OR(D310="",X310=""),"",IFERROR(DATEDIF(D310,X310,"y"),""))</x:f>
        <x:v>49</x:v>
      </x:c>
      <x:c r="F310" s="60"/>
      <x:c r="G310" s="63"/>
      <x:c r="H310" s="63"/>
      <x:c r="I310" s="61"/>
      <x:c r="J310" s="64" t="str">
        <x:f>IF(OR(I310="",X310=""),"",IFERROR(DATEDIF(I310,X310,"m")/12,""))</x:f>
      </x:c>
      <x:c r="K310" s="60" t="str">
        <x:v>5 DE VERE GARDENS, LONDON, W8 5AR</x:v>
      </x:c>
      <x:c r="L310" s="60" t="str">
        <x:v> W8 5AR</x:v>
      </x:c>
      <x:c r="M310" s="60"/>
      <x:c r="N310" s="60" t="str">
        <x:v>W8 5AR</x:v>
      </x:c>
      <x:c r="O310" s="61"/>
      <x:c r="P310" s="64" t="str">
        <x:f>IF(OR(O310="",I310=""),"",IFERROR(DATEDIF(O310,I310,"m")/12,""))</x:f>
      </x:c>
      <x:c r="Q310" s="60"/>
      <x:c r="R310" s="61"/>
      <x:c r="S310" s="64" t="str">
        <x:f>IF(OR(R310="",X310=""),"",IFERROR(DATEDIF(R310,X310,"m")/12,""))</x:f>
      </x:c>
      <x:c r="T310" s="60"/>
      <x:c r="U310" s="60"/>
      <x:c r="V310" s="60"/>
      <x:c r="W310" s="63"/>
      <x:c r="X310" s="65" t="n">
        <x:f>TODAY()</x:f>
        <x:v>46250</x:v>
      </x:c>
    </x:row>
    <x:row r="311">
      <x:c r="A311" s="59" t="str">
        <x:v>HILL</x:v>
      </x:c>
      <x:c r="B311" s="60" t="str">
        <x:v>DANIEL</x:v>
      </x:c>
      <x:c r="C311" s="60" t="str">
        <x:v>PAUL</x:v>
      </x:c>
      <x:c r="D311" s="61" t="n">
        <x:v>30877.5</x:v>
      </x:c>
      <x:c r="E311" s="62" t="n">
        <x:f>IF(OR(D311="",X311=""),"",IFERROR(DATEDIF(D311,X311,"y"),""))</x:f>
        <x:v>42</x:v>
      </x:c>
      <x:c r="F311" s="60" t="str">
        <x:v>DAVIS</x:v>
      </x:c>
      <x:c r="G311" s="63"/>
      <x:c r="H311" s="63"/>
      <x:c r="I311" s="61"/>
      <x:c r="J311" s="64" t="str">
        <x:f>IF(OR(I311="",X311=""),"",IFERROR(DATEDIF(I311,X311,"m")/12,""))</x:f>
      </x:c>
      <x:c r="K311" s="60" t="str">
        <x:v>FLAT 8, 59 BONDWAY, LONDON SW8 1SJ</x:v>
      </x:c>
      <x:c r="L311" s="60"/>
      <x:c r="M311" s="60"/>
      <x:c r="N311" s="60"/>
      <x:c r="O311" s="61"/>
      <x:c r="P311" s="64" t="str">
        <x:f>IF(OR(O311="",I311=""),"",IFERROR(DATEDIF(O311,I311,"m")/12,""))</x:f>
      </x:c>
      <x:c r="Q311" s="60"/>
      <x:c r="R311" s="61"/>
      <x:c r="S311" s="64" t="str">
        <x:f>IF(OR(R311="",X311=""),"",IFERROR(DATEDIF(R311,X311,"m")/12,""))</x:f>
      </x:c>
      <x:c r="T311" s="60"/>
      <x:c r="U311" s="60"/>
      <x:c r="V311" s="60"/>
      <x:c r="W311" s="63"/>
      <x:c r="X311" s="65" t="n">
        <x:f>TODAY()</x:f>
        <x:v>46250</x:v>
      </x:c>
    </x:row>
    <x:row r="312">
      <x:c r="A312" s="59" t="str">
        <x:v>HIRA</x:v>
      </x:c>
      <x:c r="B312" s="60" t="str">
        <x:v>AYESHA</x:v>
      </x:c>
      <x:c r="C312" s="60"/>
      <x:c r="D312" s="61" t="n">
        <x:v>26561.5</x:v>
      </x:c>
      <x:c r="E312" s="62" t="n">
        <x:f>IF(OR(D312="",X312=""),"",IFERROR(DATEDIF(D312,X312,"y"),""))</x:f>
        <x:v>53</x:v>
      </x:c>
      <x:c r="F312" s="60" t="str">
        <x:v>GIDWANI</x:v>
      </x:c>
      <x:c r="G312" s="63"/>
      <x:c r="H312" s="63"/>
      <x:c r="I312" s="61"/>
      <x:c r="J312" s="64" t="str">
        <x:f>IF(OR(I312="",X312=""),"",IFERROR(DATEDIF(I312,X312,"m")/12,""))</x:f>
      </x:c>
      <x:c r="K312" s="60"/>
      <x:c r="L312" s="60"/>
      <x:c r="M312" s="60"/>
      <x:c r="N312" s="60"/>
      <x:c r="O312" s="61"/>
      <x:c r="P312" s="64" t="str">
        <x:f>IF(OR(O312="",I312=""),"",IFERROR(DATEDIF(O312,I312,"m")/12,""))</x:f>
      </x:c>
      <x:c r="Q312" s="60"/>
      <x:c r="R312" s="61"/>
      <x:c r="S312" s="64" t="str">
        <x:f>IF(OR(R312="",X312=""),"",IFERROR(DATEDIF(R312,X312,"m")/12,""))</x:f>
      </x:c>
      <x:c r="T312" s="60"/>
      <x:c r="U312" s="60"/>
      <x:c r="V312" s="60"/>
      <x:c r="W312" s="63"/>
      <x:c r="X312" s="65" t="n">
        <x:f>TODAY()</x:f>
        <x:v>46250</x:v>
      </x:c>
    </x:row>
    <x:row r="313">
      <x:c r="A313" s="59" t="str">
        <x:v>HIRSCH-STRONSTORFF</x:v>
      </x:c>
      <x:c r="B313" s="60" t="str">
        <x:v>ANGELIKA</x:v>
      </x:c>
      <x:c r="C313" s="60"/>
      <x:c r="D313" s="61"/>
      <x:c r="E313" s="62" t="str">
        <x:f>IF(OR(D313="",X313=""),"",IFERROR(DATEDIF(D313,X313,"y"),""))</x:f>
      </x:c>
      <x:c r="F313" s="60"/>
      <x:c r="G313" s="63"/>
      <x:c r="H313" s="63"/>
      <x:c r="I313" s="61"/>
      <x:c r="J313" s="64" t="str">
        <x:f>IF(OR(I313="",X313=""),"",IFERROR(DATEDIF(I313,X313,"m")/12,""))</x:f>
      </x:c>
      <x:c r="K313" s="60"/>
      <x:c r="L313" s="60"/>
      <x:c r="M313" s="60"/>
      <x:c r="N313" s="60"/>
      <x:c r="O313" s="61"/>
      <x:c r="P313" s="64" t="str">
        <x:f>IF(OR(O313="",I313=""),"",IFERROR(DATEDIF(O313,I313,"m")/12,""))</x:f>
      </x:c>
      <x:c r="Q313" s="60"/>
      <x:c r="R313" s="61"/>
      <x:c r="S313" s="64" t="str">
        <x:f>IF(OR(R313="",X313=""),"",IFERROR(DATEDIF(R313,X313,"m")/12,""))</x:f>
      </x:c>
      <x:c r="T313" s="60"/>
      <x:c r="U313" s="60"/>
      <x:c r="V313" s="60"/>
      <x:c r="W313" s="63"/>
      <x:c r="X313" s="65" t="n">
        <x:f>TODAY()</x:f>
        <x:v>46250</x:v>
      </x:c>
    </x:row>
    <x:row r="314">
      <x:c r="A314" s="59" t="str">
        <x:v>HOGG</x:v>
      </x:c>
      <x:c r="B314" s="60" t="str">
        <x:v>LAUREN</x:v>
      </x:c>
      <x:c r="C314" s="60" t="str">
        <x:v>JADE</x:v>
      </x:c>
      <x:c r="D314" s="61"/>
      <x:c r="E314" s="62" t="str">
        <x:f>IF(OR(D314="",X314=""),"",IFERROR(DATEDIF(D314,X314,"y"),""))</x:f>
      </x:c>
      <x:c r="F314" s="60"/>
      <x:c r="G314" s="63"/>
      <x:c r="H314" s="63"/>
      <x:c r="I314" s="61"/>
      <x:c r="J314" s="64" t="str">
        <x:f>IF(OR(I314="",X314=""),"",IFERROR(DATEDIF(I314,X314,"m")/12,""))</x:f>
      </x:c>
      <x:c r="K314" s="60" t="str">
        <x:v>FLAT 11,61-63 GLOUCESTER TERRACE,LONDON,§W2 3DH</x:v>
      </x:c>
      <x:c r="L314" s="60" t="str">
        <x:v>§W2 3DH</x:v>
      </x:c>
      <x:c r="M314" s="60"/>
      <x:c r="N314" s="60" t="str">
        <x:v>§W2 3DH</x:v>
      </x:c>
      <x:c r="O314" s="61"/>
      <x:c r="P314" s="64" t="str">
        <x:f>IF(OR(O314="",I314=""),"",IFERROR(DATEDIF(O314,I314,"m")/12,""))</x:f>
      </x:c>
      <x:c r="Q314" s="60"/>
      <x:c r="R314" s="61"/>
      <x:c r="S314" s="64" t="str">
        <x:f>IF(OR(R314="",X314=""),"",IFERROR(DATEDIF(R314,X314,"m")/12,""))</x:f>
      </x:c>
      <x:c r="T314" s="60"/>
      <x:c r="U314" s="60"/>
      <x:c r="V314" s="60"/>
      <x:c r="W314" s="63"/>
      <x:c r="X314" s="65" t="n">
        <x:f>TODAY()</x:f>
        <x:v>46250</x:v>
      </x:c>
    </x:row>
    <x:row r="315">
      <x:c r="A315" s="59" t="str">
        <x:v>HOLGERSSON</x:v>
      </x:c>
      <x:c r="B315" s="60" t="str">
        <x:v>DANIEL</x:v>
      </x:c>
      <x:c r="C315" s="60"/>
      <x:c r="D315" s="61" t="n">
        <x:v>32600.5</x:v>
      </x:c>
      <x:c r="E315" s="62" t="n">
        <x:f>IF(OR(D315="",X315=""),"",IFERROR(DATEDIF(D315,X315,"y"),""))</x:f>
        <x:v>37</x:v>
      </x:c>
      <x:c r="F315" s="60" t="str">
        <x:v>KARLSSON</x:v>
      </x:c>
      <x:c r="G315" s="63"/>
      <x:c r="H315" s="63"/>
      <x:c r="I315" s="61" t="n">
        <x:v>43739.5</x:v>
      </x:c>
      <x:c r="J315" s="64" t="n">
        <x:f>IF(OR(I315="",X315=""),"",IFERROR(DATEDIF(I315,X315,"m")/12,""))</x:f>
        <x:v>6.833333333333333</x:v>
      </x:c>
      <x:c r="K315" s="60" t="str">
        <x:v>FLAT 4, 276-278 FULHAM ROAD LONDON, SW10 9EW</x:v>
      </x:c>
      <x:c r="L315" s="60" t="str">
        <x:v> SW10 9EW</x:v>
      </x:c>
      <x:c r="M315" s="60"/>
      <x:c r="N315" s="60" t="str">
        <x:v>SW10 9EW</x:v>
      </x:c>
      <x:c r="O315" s="61" t="n">
        <x:v>42736.5</x:v>
      </x:c>
      <x:c r="P315" s="64" t="n">
        <x:f>IF(OR(O315="",I315=""),"",IFERROR(DATEDIF(O315,I315,"m")/12,""))</x:f>
        <x:v>2.75</x:v>
      </x:c>
      <x:c r="Q315" s="60" t="str">
        <x:v>54A, WESTBOURNE TERRACE, LONDON, LONDON, W2 3UJ</x:v>
      </x:c>
      <x:c r="R315" s="61" t="n">
        <x:v>43101.5</x:v>
      </x:c>
      <x:c r="S315" s="64" t="n">
        <x:f>IF(OR(R315="",X315=""),"",IFERROR(DATEDIF(R315,X315,"m")/12,""))</x:f>
        <x:v>8.583333333333334</x:v>
      </x:c>
      <x:c r="T315" s="60" t="str">
        <x:v>ASSOCIATE</x:v>
      </x:c>
      <x:c r="U315" s="60" t="str">
        <x:v>BRUNSWICK GROUP</x:v>
      </x:c>
      <x:c r="V315" s="60" t="str">
        <x:v>16 LINCOLN'S INN FIELD, LONDON, WC2A 3ED, GB</x:v>
      </x:c>
      <x:c r="W315" s="63"/>
      <x:c r="X315" s="65" t="n">
        <x:f>TODAY()</x:f>
        <x:v>46250</x:v>
      </x:c>
    </x:row>
    <x:row r="316">
      <x:c r="A316" s="59" t="str">
        <x:v>HOLGERSSON</x:v>
      </x:c>
      <x:c r="B316" s="60" t="str">
        <x:v>NICKLAS</x:v>
      </x:c>
      <x:c r="C316" s="60" t="str">
        <x:v>REINHOLD</x:v>
      </x:c>
      <x:c r="D316" s="61" t="n">
        <x:v>30501.5</x:v>
      </x:c>
      <x:c r="E316" s="62" t="n">
        <x:f>IF(OR(D316="",X316=""),"",IFERROR(DATEDIF(D316,X316,"y"),""))</x:f>
        <x:v>43</x:v>
      </x:c>
      <x:c r="F316" s="60" t="str">
        <x:v>KARLSSON</x:v>
      </x:c>
      <x:c r="G316" s="63" t="str">
        <x:v>07983142017</x:v>
      </x:c>
      <x:c r="H316" s="63"/>
      <x:c r="I316" s="61" t="n">
        <x:v>43739.5</x:v>
      </x:c>
      <x:c r="J316" s="64" t="n">
        <x:f>IF(OR(I316="",X316=""),"",IFERROR(DATEDIF(I316,X316,"m")/12,""))</x:f>
        <x:v>6.833333333333333</x:v>
      </x:c>
      <x:c r="K316" s="60" t="str">
        <x:v>FLAT 4, 276-278 FULHAM ROAD LONDON, SW10 9EW</x:v>
      </x:c>
      <x:c r="L316" s="60" t="str">
        <x:v> SW10 9EW</x:v>
      </x:c>
      <x:c r="M316" s="60"/>
      <x:c r="N316" s="60" t="str">
        <x:v>SW10 9EW</x:v>
      </x:c>
      <x:c r="O316" s="61" t="n">
        <x:v>42736.5</x:v>
      </x:c>
      <x:c r="P316" s="64" t="n">
        <x:f>IF(OR(O316="",I316=""),"",IFERROR(DATEDIF(O316,I316,"m")/12,""))</x:f>
        <x:v>2.75</x:v>
      </x:c>
      <x:c r="Q316" s="60" t="str">
        <x:v>54A, WESTBOURNE TERRACE, LONDON, LONDON, W2 3UJ</x:v>
      </x:c>
      <x:c r="R316" s="61"/>
      <x:c r="S316" s="64" t="str">
        <x:f>IF(OR(R316="",X316=""),"",IFERROR(DATEDIF(R316,X316,"m")/12,""))</x:f>
      </x:c>
      <x:c r="T316" s="60"/>
      <x:c r="U316" s="60"/>
      <x:c r="V316" s="60"/>
      <x:c r="W316" s="63"/>
      <x:c r="X316" s="65" t="n">
        <x:f>TODAY()</x:f>
        <x:v>46250</x:v>
      </x:c>
    </x:row>
    <x:row r="317">
      <x:c r="A317" s="59" t="str">
        <x:v>HORKAN</x:v>
      </x:c>
      <x:c r="B317" s="60" t="str">
        <x:v>HENRY</x:v>
      </x:c>
      <x:c r="C317" s="60" t="str">
        <x:v>MICHAEL</x:v>
      </x:c>
      <x:c r="D317" s="61"/>
      <x:c r="E317" s="62" t="str">
        <x:f>IF(OR(D317="",X317=""),"",IFERROR(DATEDIF(D317,X317,"y"),""))</x:f>
      </x:c>
      <x:c r="F317" s="60"/>
      <x:c r="G317" s="63"/>
      <x:c r="H317" s="63"/>
      <x:c r="I317" s="61"/>
      <x:c r="J317" s="64" t="str">
        <x:f>IF(OR(I317="",X317=""),"",IFERROR(DATEDIF(I317,X317,"m")/12,""))</x:f>
      </x:c>
      <x:c r="K317" s="60" t="str">
        <x:v>2 TAVISTOCK PLACE, LONDON, WC1H 9RA</x:v>
      </x:c>
      <x:c r="L317" s="60" t="str">
        <x:v> WC1H 9RA</x:v>
      </x:c>
      <x:c r="M317" s="60"/>
      <x:c r="N317" s="60" t="str">
        <x:v>WC1H 9RA</x:v>
      </x:c>
      <x:c r="O317" s="61"/>
      <x:c r="P317" s="64" t="str">
        <x:f>IF(OR(O317="",I317=""),"",IFERROR(DATEDIF(O317,I317,"m")/12,""))</x:f>
      </x:c>
      <x:c r="Q317" s="60"/>
      <x:c r="R317" s="61"/>
      <x:c r="S317" s="64" t="str">
        <x:f>IF(OR(R317="",X317=""),"",IFERROR(DATEDIF(R317,X317,"m")/12,""))</x:f>
      </x:c>
      <x:c r="T317" s="60"/>
      <x:c r="U317" s="60"/>
      <x:c r="V317" s="60"/>
      <x:c r="W317" s="63"/>
      <x:c r="X317" s="65" t="n">
        <x:f>TODAY()</x:f>
        <x:v>46250</x:v>
      </x:c>
    </x:row>
    <x:row r="318">
      <x:c r="A318" s="59" t="str">
        <x:v>HORVATH</x:v>
      </x:c>
      <x:c r="B318" s="60" t="str">
        <x:v>STEPHANIE</x:v>
      </x:c>
      <x:c r="C318" s="60" t="str">
        <x:v>AUDE</x:v>
      </x:c>
      <x:c r="D318" s="61"/>
      <x:c r="E318" s="62" t="str">
        <x:f>IF(OR(D318="",X318=""),"",IFERROR(DATEDIF(D318,X318,"y"),""))</x:f>
      </x:c>
      <x:c r="F318" s="60"/>
      <x:c r="G318" s="63"/>
      <x:c r="H318" s="63"/>
      <x:c r="I318" s="61"/>
      <x:c r="J318" s="64" t="str">
        <x:f>IF(OR(I318="",X318=""),"",IFERROR(DATEDIF(I318,X318,"m")/12,""))</x:f>
      </x:c>
      <x:c r="K318" s="60" t="str">
        <x:v>FLAT 12A/13, 61-63 GLOUCESTER TERRACE,LONDON, W2 3DH</x:v>
      </x:c>
      <x:c r="L318" s="60" t="str">
        <x:v> W2 3DH</x:v>
      </x:c>
      <x:c r="M318" s="60"/>
      <x:c r="N318" s="60" t="str">
        <x:v>W2 3DH</x:v>
      </x:c>
      <x:c r="O318" s="61"/>
      <x:c r="P318" s="64" t="str">
        <x:f>IF(OR(O318="",I318=""),"",IFERROR(DATEDIF(O318,I318,"m")/12,""))</x:f>
      </x:c>
      <x:c r="Q318" s="60"/>
      <x:c r="R318" s="61"/>
      <x:c r="S318" s="64" t="str">
        <x:f>IF(OR(R318="",X318=""),"",IFERROR(DATEDIF(R318,X318,"m")/12,""))</x:f>
      </x:c>
      <x:c r="T318" s="60"/>
      <x:c r="U318" s="60"/>
      <x:c r="V318" s="60"/>
      <x:c r="W318" s="63"/>
      <x:c r="X318" s="65" t="n">
        <x:f>TODAY()</x:f>
        <x:v>46250</x:v>
      </x:c>
    </x:row>
    <x:row r="319">
      <x:c r="A319" s="59" t="str">
        <x:v>HOSKYNS</x:v>
      </x:c>
      <x:c r="B319" s="60" t="str">
        <x:v>CHANDOS</x:v>
      </x:c>
      <x:c r="C319" s="60" t="str">
        <x:v>ARCHIBALD J</x:v>
      </x:c>
      <x:c r="D319" s="61" t="n">
        <x:v>35490.5</x:v>
      </x:c>
      <x:c r="E319" s="62" t="n">
        <x:f>IF(OR(D319="",X319=""),"",IFERROR(DATEDIF(D319,X319,"y"),""))</x:f>
        <x:v>29</x:v>
      </x:c>
      <x:c r="F319" s="60" t="str">
        <x:v>HODGES</x:v>
      </x:c>
      <x:c r="G319" s="63" t="str">
        <x:v>07498916736</x:v>
      </x:c>
      <x:c r="H319" s="63"/>
      <x:c r="I319" s="61" t="n">
        <x:v>44774.5</x:v>
      </x:c>
      <x:c r="J319" s="64" t="n">
        <x:f>IF(OR(I319="",X319=""),"",IFERROR(DATEDIF(I319,X319,"m")/12,""))</x:f>
        <x:v>4</x:v>
      </x:c>
      <x:c r="K319" s="60" t="str">
        <x:v>FLAT 4, ASCOT HOUSE 65 VENN STREET, SW4 0BD</x:v>
      </x:c>
      <x:c r="L319" s="60"/>
      <x:c r="M319" s="60"/>
      <x:c r="N319" s="60"/>
      <x:c r="O319" s="61" t="n">
        <x:v>43709.5</x:v>
      </x:c>
      <x:c r="P319" s="64" t="n">
        <x:f>IF(OR(O319="",I319=""),"",IFERROR(DATEDIF(O319,I319,"m")/12,""))</x:f>
        <x:v>2.9166666666666665</x:v>
      </x:c>
      <x:c r="Q319" s="60"/>
      <x:c r="R319" s="61" t="n">
        <x:v>44835.5</x:v>
      </x:c>
      <x:c r="S319" s="64" t="n">
        <x:f>IF(OR(R319="",X319=""),"",IFERROR(DATEDIF(R319,X319,"m")/12,""))</x:f>
        <x:v>3.8333333333333335</x:v>
      </x:c>
      <x:c r="T319" s="60" t="str">
        <x:v>TERRITORY ACCOUNT MANAGER</x:v>
      </x:c>
      <x:c r="U319" s="60" t="str">
        <x:v>TREND MICRO</x:v>
      </x:c>
      <x:c r="V319" s="60"/>
      <x:c r="W319" s="63"/>
      <x:c r="X319" s="65" t="n">
        <x:f>TODAY()</x:f>
        <x:v>46250</x:v>
      </x:c>
    </x:row>
    <x:row r="320">
      <x:c r="A320" s="59" t="str">
        <x:v>HOTIMSKY</x:v>
      </x:c>
      <x:c r="B320" s="60" t="str">
        <x:v>CHARLES</x:v>
      </x:c>
      <x:c r="C320" s="60" t="str">
        <x:v>PIERRE</x:v>
      </x:c>
      <x:c r="D320" s="61" t="n">
        <x:v>31691.5</x:v>
      </x:c>
      <x:c r="E320" s="62" t="n">
        <x:f>IF(OR(D320="",X320=""),"",IFERROR(DATEDIF(D320,X320,"y"),""))</x:f>
        <x:v>39</x:v>
      </x:c>
      <x:c r="F320" s="60" t="str">
        <x:v>MARTIN</x:v>
      </x:c>
      <x:c r="G320" s="63"/>
      <x:c r="H320" s="63"/>
      <x:c r="I320" s="61" t="n">
        <x:v>40664.5</x:v>
      </x:c>
      <x:c r="J320" s="64" t="n">
        <x:f>IF(OR(I320="",X320=""),"",IFERROR(DATEDIF(I320,X320,"m")/12,""))</x:f>
        <x:v>15.25</x:v>
      </x:c>
      <x:c r="K320" s="60" t="str">
        <x:v>FLAT 4, 78 ELM PARK ROAD, LONDON, SW3 6AU</x:v>
      </x:c>
      <x:c r="L320" s="60" t="str">
        <x:v> SW3 6AU</x:v>
      </x:c>
      <x:c r="M320" s="60"/>
      <x:c r="N320" s="60" t="str">
        <x:v>SW3 6AU</x:v>
      </x:c>
      <x:c r="O320" s="61"/>
      <x:c r="P320" s="64" t="str">
        <x:f>IF(OR(O320="",I320=""),"",IFERROR(DATEDIF(O320,I320,"m")/12,""))</x:f>
      </x:c>
      <x:c r="Q320" s="60"/>
      <x:c r="R320" s="61"/>
      <x:c r="S320" s="64" t="str">
        <x:f>IF(OR(R320="",X320=""),"",IFERROR(DATEDIF(R320,X320,"m")/12,""))</x:f>
      </x:c>
      <x:c r="T320" s="60"/>
      <x:c r="U320" s="60"/>
      <x:c r="V320" s="60"/>
      <x:c r="W320" s="63"/>
      <x:c r="X320" s="65" t="n">
        <x:f>TODAY()</x:f>
        <x:v>46250</x:v>
      </x:c>
    </x:row>
    <x:row r="321">
      <x:c r="A321" s="59" t="str">
        <x:v>HOUGHTON</x:v>
      </x:c>
      <x:c r="B321" s="60" t="str">
        <x:v>SIMON</x:v>
      </x:c>
      <x:c r="C321" s="60" t="str">
        <x:v>JAMES</x:v>
      </x:c>
      <x:c r="D321" s="61" t="n">
        <x:v>35540.5</x:v>
      </x:c>
      <x:c r="E321" s="62" t="n">
        <x:f>IF(OR(D321="",X321=""),"",IFERROR(DATEDIF(D321,X321,"y"),""))</x:f>
        <x:v>29</x:v>
      </x:c>
      <x:c r="F321" s="60" t="str">
        <x:v>HOUGHTON</x:v>
      </x:c>
      <x:c r="G321" s="63"/>
      <x:c r="H321" s="63"/>
      <x:c r="I321" s="61"/>
      <x:c r="J321" s="64" t="str">
        <x:f>IF(OR(I321="",X321=""),"",IFERROR(DATEDIF(I321,X321,"m")/12,""))</x:f>
      </x:c>
      <x:c r="K321" s="60" t="str">
        <x:v>FLAT 3, 39 DRAYCOTT PLACE, LONDON, SW3 2SH</x:v>
      </x:c>
      <x:c r="L321" s="60" t="str">
        <x:v> SW3 2SH</x:v>
      </x:c>
      <x:c r="M321" s="60"/>
      <x:c r="N321" s="60" t="str">
        <x:v>SW3 2SH</x:v>
      </x:c>
      <x:c r="O321" s="61"/>
      <x:c r="P321" s="64" t="str">
        <x:f>IF(OR(O321="",I321=""),"",IFERROR(DATEDIF(O321,I321,"m")/12,""))</x:f>
      </x:c>
      <x:c r="Q321" s="60" t="str">
        <x:v>FLAT 3, 171 FULHAM ROAD LONDON, SW3 6JW</x:v>
      </x:c>
      <x:c r="R321" s="61"/>
      <x:c r="S321" s="64" t="str">
        <x:f>IF(OR(R321="",X321=""),"",IFERROR(DATEDIF(R321,X321,"m")/12,""))</x:f>
      </x:c>
      <x:c r="T321" s="60"/>
      <x:c r="U321" s="60"/>
      <x:c r="V321" s="60"/>
      <x:c r="W321" s="63"/>
      <x:c r="X321" s="65" t="n">
        <x:f>TODAY()</x:f>
        <x:v>46250</x:v>
      </x:c>
    </x:row>
    <x:row r="322">
      <x:c r="A322" s="59" t="str">
        <x:v>HUANG</x:v>
      </x:c>
      <x:c r="B322" s="60" t="str">
        <x:v>LANDY</x:v>
      </x:c>
      <x:c r="C322" s="60"/>
      <x:c r="D322" s="61" t="n">
        <x:v>36305.5</x:v>
      </x:c>
      <x:c r="E322" s="62" t="n">
        <x:f>IF(OR(D322="",X322=""),"",IFERROR(DATEDIF(D322,X322,"y"),""))</x:f>
        <x:v>27</x:v>
      </x:c>
      <x:c r="F322" s="60"/>
      <x:c r="G322" s="63"/>
      <x:c r="H322" s="63"/>
      <x:c r="I322" s="61" t="n">
        <x:v>43586.5</x:v>
      </x:c>
      <x:c r="J322" s="64" t="n">
        <x:f>IF(OR(I322="",X322=""),"",IFERROR(DATEDIF(I322,X322,"m")/12,""))</x:f>
        <x:v>7.25</x:v>
      </x:c>
      <x:c r="K322" s="60" t="str">
        <x:v>FLAT C, 9 LEINSTER GARDENS, LONDON, W2 6DP</x:v>
      </x:c>
      <x:c r="L322" s="60" t="str">
        <x:v> W2 6DP</x:v>
      </x:c>
      <x:c r="M322" s="60"/>
      <x:c r="N322" s="60" t="str">
        <x:v>W2 6DP</x:v>
      </x:c>
      <x:c r="O322" s="61"/>
      <x:c r="P322" s="64" t="str">
        <x:f>IF(OR(O322="",I322=""),"",IFERROR(DATEDIF(O322,I322,"m")/12,""))</x:f>
      </x:c>
      <x:c r="Q322" s="60"/>
      <x:c r="R322" s="61"/>
      <x:c r="S322" s="64" t="str">
        <x:f>IF(OR(R322="",X322=""),"",IFERROR(DATEDIF(R322,X322,"m")/12,""))</x:f>
      </x:c>
      <x:c r="T322" s="60" t="str">
        <x:v>INVESTMENT BANKING ANALYST</x:v>
      </x:c>
      <x:c r="U322" s="60" t="str">
        <x:v>PJT PARTNERS</x:v>
      </x:c>
      <x:c r="V322" s="60" t="str">
        <x:v>1 CURZON STREET, LONDON W1J 5HD</x:v>
      </x:c>
      <x:c r="W322" s="63" t="str">
        <x:v>0 203 650 1100</x:v>
      </x:c>
      <x:c r="X322" s="65" t="n">
        <x:f>TODAY()</x:f>
        <x:v>46250</x:v>
      </x:c>
    </x:row>
    <x:row r="323">
      <x:c r="A323" s="59" t="str">
        <x:v>HUANG</x:v>
      </x:c>
      <x:c r="B323" s="60" t="str">
        <x:v>IRENE</x:v>
      </x:c>
      <x:c r="C323" s="60"/>
      <x:c r="D323" s="61"/>
      <x:c r="E323" s="62" t="str">
        <x:f>IF(OR(D323="",X323=""),"",IFERROR(DATEDIF(D323,X323,"y"),""))</x:f>
      </x:c>
      <x:c r="F323" s="60"/>
      <x:c r="G323" s="63"/>
      <x:c r="H323" s="63"/>
      <x:c r="I323" s="61"/>
      <x:c r="J323" s="64" t="str">
        <x:f>IF(OR(I323="",X323=""),"",IFERROR(DATEDIF(I323,X323,"m")/12,""))</x:f>
      </x:c>
      <x:c r="K323" s="60"/>
      <x:c r="L323" s="60"/>
      <x:c r="M323" s="60"/>
      <x:c r="N323" s="60"/>
      <x:c r="O323" s="61"/>
      <x:c r="P323" s="64" t="str">
        <x:f>IF(OR(O323="",I323=""),"",IFERROR(DATEDIF(O323,I323,"m")/12,""))</x:f>
      </x:c>
      <x:c r="Q323" s="60"/>
      <x:c r="R323" s="61"/>
      <x:c r="S323" s="64" t="str">
        <x:f>IF(OR(R323="",X323=""),"",IFERROR(DATEDIF(R323,X323,"m")/12,""))</x:f>
      </x:c>
      <x:c r="T323" s="60"/>
      <x:c r="U323" s="60"/>
      <x:c r="V323" s="60"/>
      <x:c r="W323" s="63"/>
      <x:c r="X323" s="65" t="n">
        <x:f>TODAY()</x:f>
        <x:v>46250</x:v>
      </x:c>
    </x:row>
    <x:row r="324">
      <x:c r="A324" s="59" t="str">
        <x:v>HUNG</x:v>
      </x:c>
      <x:c r="B324" s="60" t="str">
        <x:v>JO-YUN</x:v>
      </x:c>
      <x:c r="C324" s="60"/>
      <x:c r="D324" s="61" t="n">
        <x:v>32842.5</x:v>
      </x:c>
      <x:c r="E324" s="62" t="n">
        <x:f>IF(OR(D324="",X324=""),"",IFERROR(DATEDIF(D324,X324,"y"),""))</x:f>
        <x:v>36</x:v>
      </x:c>
      <x:c r="F324" s="60"/>
      <x:c r="G324" s="63" t="str">
        <x:v>07917154503</x:v>
      </x:c>
      <x:c r="H324" s="63"/>
      <x:c r="I324" s="61" t="n">
        <x:v>41395.5</x:v>
      </x:c>
      <x:c r="J324" s="64" t="n">
        <x:f>IF(OR(I324="",X324=""),"",IFERROR(DATEDIF(I324,X324,"m")/12,""))</x:f>
        <x:v>13.25</x:v>
      </x:c>
      <x:c r="K324" s="60" t="str">
        <x:v>FLAT 5, 43 PHILBEACH GARDENS, LONDON, LONDON, SW5 9DY</x:v>
      </x:c>
      <x:c r="L324" s="60" t="str">
        <x:v> LONDON, SW5 9DY</x:v>
      </x:c>
      <x:c r="M324" s="60"/>
      <x:c r="N324" s="60" t="str">
        <x:v> SW5 9DY</x:v>
      </x:c>
      <x:c r="O324" s="61"/>
      <x:c r="P324" s="64" t="str">
        <x:f>IF(OR(O324="",I324=""),"",IFERROR(DATEDIF(O324,I324,"m")/12,""))</x:f>
      </x:c>
      <x:c r="Q324" s="60"/>
      <x:c r="R324" s="61" t="n">
        <x:v>41456.5</x:v>
      </x:c>
      <x:c r="S324" s="64" t="n">
        <x:f>IF(OR(R324="",X324=""),"",IFERROR(DATEDIF(R324,X324,"m")/12,""))</x:f>
        <x:v>13.083333333333334</x:v>
      </x:c>
      <x:c r="T324" s="60" t="str">
        <x:v>CO FOUNDER</x:v>
      </x:c>
      <x:c r="U324" s="60" t="str">
        <x:v>NATIVE &amp; CO,</x:v>
      </x:c>
      <x:c r="V324" s="60" t="str">
        <x:v>116 KENSINGTON PARK ROAD, LONDON W11 2PW, UNITED KINGDOM</x:v>
      </x:c>
      <x:c r="W324" s="63" t="str">
        <x:v>020 7243 0418</x:v>
      </x:c>
      <x:c r="X324" s="65" t="n">
        <x:f>TODAY()</x:f>
        <x:v>46250</x:v>
      </x:c>
    </x:row>
    <x:row r="325">
      <x:c r="A325" s="59" t="str">
        <x:v>HUNT</x:v>
      </x:c>
      <x:c r="B325" s="60" t="str">
        <x:v>GRAEME</x:v>
      </x:c>
      <x:c r="C325" s="60" t="str">
        <x:v>BROOKS</x:v>
      </x:c>
      <x:c r="D325" s="61" t="n">
        <x:v>22381.5</x:v>
      </x:c>
      <x:c r="E325" s="62" t="n">
        <x:f>IF(OR(D325="",X325=""),"",IFERROR(DATEDIF(D325,X325,"y"),""))</x:f>
        <x:v>65</x:v>
      </x:c>
      <x:c r="F325" s="60"/>
      <x:c r="G325" s="63"/>
      <x:c r="H325" s="63"/>
      <x:c r="I325" s="61"/>
      <x:c r="J325" s="64" t="str">
        <x:f>IF(OR(I325="",X325=""),"",IFERROR(DATEDIF(I325,X325,"m")/12,""))</x:f>
      </x:c>
      <x:c r="K325" s="60"/>
      <x:c r="L325" s="60"/>
      <x:c r="M325" s="60"/>
      <x:c r="N325" s="60"/>
      <x:c r="O325" s="61"/>
      <x:c r="P325" s="64" t="str">
        <x:f>IF(OR(O325="",I325=""),"",IFERROR(DATEDIF(O325,I325,"m")/12,""))</x:f>
      </x:c>
      <x:c r="Q325" s="60"/>
      <x:c r="R325" s="61"/>
      <x:c r="S325" s="64" t="str">
        <x:f>IF(OR(R325="",X325=""),"",IFERROR(DATEDIF(R325,X325,"m")/12,""))</x:f>
      </x:c>
      <x:c r="T325" s="60"/>
      <x:c r="U325" s="60"/>
      <x:c r="V325" s="60"/>
      <x:c r="W325" s="63"/>
      <x:c r="X325" s="65" t="n">
        <x:f>TODAY()</x:f>
        <x:v>46250</x:v>
      </x:c>
    </x:row>
    <x:row r="326">
      <x:c r="A326" s="59" t="str">
        <x:v>HUNT</x:v>
      </x:c>
      <x:c r="B326" s="60" t="str">
        <x:v>WILLIAM</x:v>
      </x:c>
      <x:c r="C326" s="60" t="str">
        <x:v>EDGAR BROOKS</x:v>
      </x:c>
      <x:c r="D326" s="61" t="n">
        <x:v>34262.5</x:v>
      </x:c>
      <x:c r="E326" s="62" t="n">
        <x:f>IF(OR(D326="",X326=""),"",IFERROR(DATEDIF(D326,X326,"y"),""))</x:f>
        <x:v>32</x:v>
      </x:c>
      <x:c r="F326" s="60"/>
      <x:c r="G326" s="63"/>
      <x:c r="H326" s="63"/>
      <x:c r="I326" s="61"/>
      <x:c r="J326" s="64" t="str">
        <x:f>IF(OR(I326="",X326=""),"",IFERROR(DATEDIF(I326,X326,"m")/12,""))</x:f>
      </x:c>
      <x:c r="K326" s="60"/>
      <x:c r="L326" s="60"/>
      <x:c r="M326" s="60"/>
      <x:c r="N326" s="60"/>
      <x:c r="O326" s="61"/>
      <x:c r="P326" s="64" t="str">
        <x:f>IF(OR(O326="",I326=""),"",IFERROR(DATEDIF(O326,I326,"m")/12,""))</x:f>
      </x:c>
      <x:c r="Q326" s="60"/>
      <x:c r="R326" s="61"/>
      <x:c r="S326" s="64" t="str">
        <x:f>IF(OR(R326="",X326=""),"",IFERROR(DATEDIF(R326,X326,"m")/12,""))</x:f>
      </x:c>
      <x:c r="T326" s="60"/>
      <x:c r="U326" s="60"/>
      <x:c r="V326" s="60"/>
      <x:c r="W326" s="63"/>
      <x:c r="X326" s="65" t="n">
        <x:f>TODAY()</x:f>
        <x:v>46250</x:v>
      </x:c>
    </x:row>
    <x:row r="327">
      <x:c r="A327" s="59" t="str">
        <x:v>HUNTER</x:v>
      </x:c>
      <x:c r="B327" s="60" t="str">
        <x:v>CHARLES</x:v>
      </x:c>
      <x:c r="C327" s="60" t="str">
        <x:v>RUPERT</x:v>
      </x:c>
      <x:c r="D327" s="61" t="n">
        <x:v>18920.5</x:v>
      </x:c>
      <x:c r="E327" s="62" t="n">
        <x:f>IF(OR(D327="",X327=""),"",IFERROR(DATEDIF(D327,X327,"y"),""))</x:f>
        <x:v>74</x:v>
      </x:c>
      <x:c r="F327" s="60" t="str">
        <x:v>ORPEN</x:v>
      </x:c>
      <x:c r="G327" s="63" t="str">
        <x:v>07507069975</x:v>
      </x:c>
      <x:c r="H327" s="63" t="str">
        <x:v>YS323345D</x:v>
      </x:c>
      <x:c r="I327" s="61" t="n">
        <x:v>42430.5</x:v>
      </x:c>
      <x:c r="J327" s="64" t="n">
        <x:f>IF(OR(I327="",X327=""),"",IFERROR(DATEDIF(I327,X327,"m")/12,""))</x:f>
        <x:v>10.416666666666666</x:v>
      </x:c>
      <x:c r="K327" s="60" t="str">
        <x:v>FLAT 5, ST. JOHNS HOUSE, 366 NORTH END ROAD, LONDON, SW6 1LY</x:v>
      </x:c>
      <x:c r="L327" s="60" t="str">
        <x:v> SW6 1LY</x:v>
      </x:c>
      <x:c r="M327" s="60"/>
      <x:c r="N327" s="60" t="str">
        <x:v>SW6 1LY</x:v>
      </x:c>
      <x:c r="O327" s="61" t="n">
        <x:v>37408.5</x:v>
      </x:c>
      <x:c r="P327" s="64" t="n">
        <x:f>IF(OR(O327="",I327=""),"",IFERROR(DATEDIF(O327,I327,"m")/12,""))</x:f>
        <x:v>13.75</x:v>
      </x:c>
      <x:c r="Q327" s="60" t="str">
        <x:v>48 RADIPOLE ROAD, LONDON, SW6 5DL</x:v>
      </x:c>
      <x:c r="R327" s="61" t="n">
        <x:v>38626.5</x:v>
      </x:c>
      <x:c r="S327" s="64" t="n">
        <x:f>IF(OR(R327="",X327=""),"",IFERROR(DATEDIF(R327,X327,"m")/12,""))</x:f>
        <x:v>20.833333333333332</x:v>
      </x:c>
      <x:c r="T327" s="60"/>
      <x:c r="U327" s="60"/>
      <x:c r="V327" s="60"/>
      <x:c r="W327" s="63"/>
      <x:c r="X327" s="65" t="n">
        <x:f>TODAY()</x:f>
        <x:v>46250</x:v>
      </x:c>
    </x:row>
    <x:row r="328">
      <x:c r="A328" s="59" t="str">
        <x:v>HUNTER</x:v>
      </x:c>
      <x:c r="B328" s="60" t="str">
        <x:v>LILY</x:v>
      </x:c>
      <x:c r="C328" s="60" t="str">
        <x:v>ROSE</x:v>
      </x:c>
      <x:c r="D328" s="61" t="n">
        <x:v>34792.5</x:v>
      </x:c>
      <x:c r="E328" s="62" t="n">
        <x:f>IF(OR(D328="",X328=""),"",IFERROR(DATEDIF(D328,X328,"y"),""))</x:f>
        <x:v>31</x:v>
      </x:c>
      <x:c r="F328" s="60" t="str">
        <x:v>PILCHER</x:v>
      </x:c>
      <x:c r="G328" s="63"/>
      <x:c r="H328" s="63"/>
      <x:c r="I328" s="61" t="n">
        <x:v>42430.5</x:v>
      </x:c>
      <x:c r="J328" s="64" t="n">
        <x:f>IF(OR(I328="",X328=""),"",IFERROR(DATEDIF(I328,X328,"m")/12,""))</x:f>
        <x:v>10.416666666666666</x:v>
      </x:c>
      <x:c r="K328" s="60" t="str">
        <x:v>FLAT 5, ST. JOHNS HOUSE, 366 NORTH END ROAD, LONDON, SW6 1LY</x:v>
      </x:c>
      <x:c r="L328" s="60" t="str">
        <x:v> SW6 1LY</x:v>
      </x:c>
      <x:c r="M328" s="60"/>
      <x:c r="N328" s="60" t="str">
        <x:v>SW6 1LY</x:v>
      </x:c>
      <x:c r="O328" s="61" t="n">
        <x:v>41760.5</x:v>
      </x:c>
      <x:c r="P328" s="64" t="n">
        <x:f>IF(OR(O328="",I328=""),"",IFERROR(DATEDIF(O328,I328,"m")/12,""))</x:f>
        <x:v>1.8333333333333333</x:v>
      </x:c>
      <x:c r="Q328" s="60" t="str">
        <x:v>94, RANNOCH ROAD, LONDON, LONDON, W6 9SW</x:v>
      </x:c>
      <x:c r="R328" s="61"/>
      <x:c r="S328" s="64" t="str">
        <x:f>IF(OR(R328="",X328=""),"",IFERROR(DATEDIF(R328,X328,"m")/12,""))</x:f>
      </x:c>
      <x:c r="T328" s="60"/>
      <x:c r="U328" s="60"/>
      <x:c r="V328" s="60"/>
      <x:c r="W328" s="63"/>
      <x:c r="X328" s="65" t="n">
        <x:f>TODAY()</x:f>
        <x:v>46250</x:v>
      </x:c>
    </x:row>
    <x:row r="329">
      <x:c r="A329" s="59" t="str">
        <x:v>I</x:v>
      </x:c>
      <x:c r="B329" s="60"/>
      <x:c r="C329" s="60"/>
      <x:c r="D329" s="61"/>
      <x:c r="E329" s="62" t="str">
        <x:f>IF(OR(D329="",X329=""),"",IFERROR(DATEDIF(D329,X329,"y"),""))</x:f>
      </x:c>
      <x:c r="F329" s="60"/>
      <x:c r="G329" s="63"/>
      <x:c r="H329" s="63"/>
      <x:c r="I329" s="61"/>
      <x:c r="J329" s="64" t="str">
        <x:f>IF(OR(I329="",X329=""),"",IFERROR(DATEDIF(I329,X329,"m")/12,""))</x:f>
      </x:c>
      <x:c r="K329" s="60"/>
      <x:c r="L329" s="60"/>
      <x:c r="M329" s="60"/>
      <x:c r="N329" s="60"/>
      <x:c r="O329" s="61"/>
      <x:c r="P329" s="64" t="str">
        <x:f>IF(OR(O329="",I329=""),"",IFERROR(DATEDIF(O329,I329,"m")/12,""))</x:f>
      </x:c>
      <x:c r="Q329" s="60"/>
      <x:c r="R329" s="61"/>
      <x:c r="S329" s="64" t="str">
        <x:f>IF(OR(R329="",X329=""),"",IFERROR(DATEDIF(R329,X329,"m")/12,""))</x:f>
      </x:c>
      <x:c r="T329" s="60"/>
      <x:c r="U329" s="60"/>
      <x:c r="V329" s="60"/>
      <x:c r="W329" s="63"/>
      <x:c r="X329" s="65" t="n">
        <x:f>TODAY()</x:f>
        <x:v>46250</x:v>
      </x:c>
    </x:row>
    <x:row r="330">
      <x:c r="A330" s="59" t="str">
        <x:v>INDAIMO</x:v>
      </x:c>
      <x:c r="B330" s="60" t="str">
        <x:v>PAUL</x:v>
      </x:c>
      <x:c r="C330" s="60" t="str">
        <x:v>VICTOR</x:v>
      </x:c>
      <x:c r="D330" s="61" t="n">
        <x:v>23560.5</x:v>
      </x:c>
      <x:c r="E330" s="62" t="n">
        <x:f>IF(OR(D330="",X330=""),"",IFERROR(DATEDIF(D330,X330,"y"),""))</x:f>
        <x:v>62</x:v>
      </x:c>
      <x:c r="F330" s="60" t="str">
        <x:v>INDAIMO</x:v>
      </x:c>
      <x:c r="G330" s="63"/>
      <x:c r="H330" s="63"/>
      <x:c r="I330" s="61" t="n">
        <x:v>37377.5</x:v>
      </x:c>
      <x:c r="J330" s="64" t="n">
        <x:f>IF(OR(I330="",X330=""),"",IFERROR(DATEDIF(I330,X330,"m")/12,""))</x:f>
        <x:v>24.25</x:v>
      </x:c>
      <x:c r="K330" s="60" t="str">
        <x:v>FLAT 3, 10 SPRING STREET, LONDON, W21 3RA</x:v>
      </x:c>
      <x:c r="L330" s="60" t="str">
        <x:v> W21 3RA</x:v>
      </x:c>
      <x:c r="M330" s="60"/>
      <x:c r="N330" s="60" t="str">
        <x:v>W21 3RA</x:v>
      </x:c>
      <x:c r="O330" s="61"/>
      <x:c r="P330" s="64" t="str">
        <x:f>IF(OR(O330="",I330=""),"",IFERROR(DATEDIF(O330,I330,"m")/12,""))</x:f>
      </x:c>
      <x:c r="Q330" s="60"/>
      <x:c r="R330" s="61"/>
      <x:c r="S330" s="64" t="str">
        <x:f>IF(OR(R330="",X330=""),"",IFERROR(DATEDIF(R330,X330,"m")/12,""))</x:f>
      </x:c>
      <x:c r="T330" s="60"/>
      <x:c r="U330" s="60"/>
      <x:c r="V330" s="60"/>
      <x:c r="W330" s="63"/>
      <x:c r="X330" s="65" t="n">
        <x:f>TODAY()</x:f>
        <x:v>46250</x:v>
      </x:c>
    </x:row>
    <x:row r="331">
      <x:c r="A331" s="59" t="str">
        <x:v>IP</x:v>
      </x:c>
      <x:c r="B331" s="60" t="str">
        <x:v>CHYVETTE</x:v>
      </x:c>
      <x:c r="C331" s="60"/>
      <x:c r="D331" s="61" t="n">
        <x:v>32607.5</x:v>
      </x:c>
      <x:c r="E331" s="62" t="n">
        <x:f>IF(OR(D331="",X331=""),"",IFERROR(DATEDIF(D331,X331,"y"),""))</x:f>
        <x:v>37</x:v>
      </x:c>
      <x:c r="F331" s="60"/>
      <x:c r="G331" s="63"/>
      <x:c r="H331" s="63"/>
      <x:c r="I331" s="61" t="n">
        <x:v>43313.5</x:v>
      </x:c>
      <x:c r="J331" s="64" t="n">
        <x:f>IF(OR(I331="",X331=""),"",IFERROR(DATEDIF(I331,X331,"m")/12,""))</x:f>
        <x:v>8</x:v>
      </x:c>
      <x:c r="K331" s="60" t="str">
        <x:v>FLAT 4, 52 SOUTH MOLTON STREET, LONDON, W1K 5SE</x:v>
      </x:c>
      <x:c r="L331" s="60" t="str">
        <x:v> W1K 5SE</x:v>
      </x:c>
      <x:c r="M331" s="60"/>
      <x:c r="N331" s="60" t="str">
        <x:v>W1K 5SE</x:v>
      </x:c>
      <x:c r="O331" s="61"/>
      <x:c r="P331" s="64" t="str">
        <x:f>IF(OR(O331="",I331=""),"",IFERROR(DATEDIF(O331,I331,"m")/12,""))</x:f>
      </x:c>
      <x:c r="Q331" s="60"/>
      <x:c r="R331" s="61"/>
      <x:c r="S331" s="64" t="str">
        <x:f>IF(OR(R331="",X331=""),"",IFERROR(DATEDIF(R331,X331,"m")/12,""))</x:f>
      </x:c>
      <x:c r="T331" s="60"/>
      <x:c r="U331" s="60"/>
      <x:c r="V331" s="60"/>
      <x:c r="W331" s="63"/>
      <x:c r="X331" s="65" t="n">
        <x:f>TODAY()</x:f>
        <x:v>46250</x:v>
      </x:c>
    </x:row>
    <x:row r="332">
      <x:c r="A332" s="59" t="str">
        <x:v>IRWIN</x:v>
      </x:c>
      <x:c r="B332" s="60" t="str">
        <x:v>RICHARD</x:v>
      </x:c>
      <x:c r="C332" s="60" t="str">
        <x:v>SIMON</x:v>
      </x:c>
      <x:c r="D332" s="61" t="n">
        <x:v>32417.5</x:v>
      </x:c>
      <x:c r="E332" s="62" t="n">
        <x:f>IF(OR(D332="",X332=""),"",IFERROR(DATEDIF(D332,X332,"y"),""))</x:f>
        <x:v>37</x:v>
      </x:c>
      <x:c r="F332" s="60"/>
      <x:c r="G332" s="63"/>
      <x:c r="H332" s="63"/>
      <x:c r="I332" s="61"/>
      <x:c r="J332" s="64" t="str">
        <x:f>IF(OR(I332="",X332=""),"",IFERROR(DATEDIF(I332,X332,"m")/12,""))</x:f>
      </x:c>
      <x:c r="K332" s="60" t="str">
        <x:v>FLAT 1, AMBASSADOR COURT, 17-19 CRAVEN TERRACE, LONDON, W2 3QH</x:v>
      </x:c>
      <x:c r="L332" s="60" t="str">
        <x:v> W2 3QH</x:v>
      </x:c>
      <x:c r="M332" s="60"/>
      <x:c r="N332" s="60" t="str">
        <x:v>W2 3QH</x:v>
      </x:c>
      <x:c r="O332" s="61"/>
      <x:c r="P332" s="64" t="str">
        <x:f>IF(OR(O332="",I332=""),"",IFERROR(DATEDIF(O332,I332,"m")/12,""))</x:f>
      </x:c>
      <x:c r="Q332" s="60"/>
      <x:c r="R332" s="61"/>
      <x:c r="S332" s="64" t="str">
        <x:f>IF(OR(R332="",X332=""),"",IFERROR(DATEDIF(R332,X332,"m")/12,""))</x:f>
      </x:c>
      <x:c r="T332" s="60"/>
      <x:c r="U332" s="60"/>
      <x:c r="V332" s="60"/>
      <x:c r="W332" s="63"/>
      <x:c r="X332" s="65" t="n">
        <x:f>TODAY()</x:f>
        <x:v>46250</x:v>
      </x:c>
    </x:row>
    <x:row r="333">
      <x:c r="A333" s="59" t="str">
        <x:v>IZMAILOV</x:v>
      </x:c>
      <x:c r="B333" s="60" t="str">
        <x:v>DIMITRI</x:v>
      </x:c>
      <x:c r="C333" s="60"/>
      <x:c r="D333" s="61" t="n">
        <x:v>31737.5</x:v>
      </x:c>
      <x:c r="E333" s="62" t="n">
        <x:f>IF(OR(D333="",X333=""),"",IFERROR(DATEDIF(D333,X333,"y"),""))</x:f>
        <x:v>39</x:v>
      </x:c>
      <x:c r="F333" s="60"/>
      <x:c r="G333" s="63"/>
      <x:c r="H333" s="63"/>
      <x:c r="I333" s="61" t="n">
        <x:v>44228.5</x:v>
      </x:c>
      <x:c r="J333" s="64" t="n">
        <x:f>IF(OR(I333="",X333=""),"",IFERROR(DATEDIF(I333,X333,"m")/12,""))</x:f>
        <x:v>5.5</x:v>
      </x:c>
      <x:c r="K333" s="60" t="str">
        <x:v>6 NEVERN SQUARE, FIRST FLOOR FLAT, LONDON, SWS 9NN</x:v>
      </x:c>
      <x:c r="L333" s="60" t="str">
        <x:v> SWS 9NN</x:v>
      </x:c>
      <x:c r="M333" s="60"/>
      <x:c r="N333" s="60" t="str">
        <x:v>SWS 9NN</x:v>
      </x:c>
      <x:c r="O333" s="61"/>
      <x:c r="P333" s="64" t="str">
        <x:f>IF(OR(O333="",I333=""),"",IFERROR(DATEDIF(O333,I333,"m")/12,""))</x:f>
      </x:c>
      <x:c r="Q333" s="60"/>
      <x:c r="R333" s="61" t="n">
        <x:v>43221.5</x:v>
      </x:c>
      <x:c r="S333" s="64" t="n">
        <x:f>IF(OR(R333="",X333=""),"",IFERROR(DATEDIF(R333,X333,"m")/12,""))</x:f>
        <x:v>8.25</x:v>
      </x:c>
      <x:c r="T333" s="60" t="str">
        <x:v>CO FOUNDER</x:v>
      </x:c>
      <x:c r="U333" s="60" t="str">
        <x:v>BEACON TECHNOLOGIES LTD.</x:v>
      </x:c>
      <x:c r="V333" s="60" t="str">
        <x:v>42 BERKELEY SQUARE, LONDON, LONDON, W1J 5AW</x:v>
      </x:c>
      <x:c r="W333" s="63" t="str">
        <x:v>07723 487023</x:v>
      </x:c>
      <x:c r="X333" s="65" t="n">
        <x:f>TODAY()</x:f>
        <x:v>46250</x:v>
      </x:c>
    </x:row>
    <x:row r="334">
      <x:c r="A334" s="59" t="str">
        <x:v>J</x:v>
      </x:c>
      <x:c r="B334" s="60"/>
      <x:c r="C334" s="60"/>
      <x:c r="D334" s="61"/>
      <x:c r="E334" s="62" t="str">
        <x:f>IF(OR(D334="",X334=""),"",IFERROR(DATEDIF(D334,X334,"y"),""))</x:f>
      </x:c>
      <x:c r="F334" s="60"/>
      <x:c r="G334" s="63"/>
      <x:c r="H334" s="63"/>
      <x:c r="I334" s="61"/>
      <x:c r="J334" s="64" t="str">
        <x:f>IF(OR(I334="",X334=""),"",IFERROR(DATEDIF(I334,X334,"m")/12,""))</x:f>
      </x:c>
      <x:c r="K334" s="60"/>
      <x:c r="L334" s="60"/>
      <x:c r="M334" s="60"/>
      <x:c r="N334" s="60"/>
      <x:c r="O334" s="61"/>
      <x:c r="P334" s="64" t="str">
        <x:f>IF(OR(O334="",I334=""),"",IFERROR(DATEDIF(O334,I334,"m")/12,""))</x:f>
      </x:c>
      <x:c r="Q334" s="60"/>
      <x:c r="R334" s="61"/>
      <x:c r="S334" s="64" t="str">
        <x:f>IF(OR(R334="",X334=""),"",IFERROR(DATEDIF(R334,X334,"m")/12,""))</x:f>
      </x:c>
      <x:c r="T334" s="60"/>
      <x:c r="U334" s="60"/>
      <x:c r="V334" s="60"/>
      <x:c r="W334" s="63"/>
      <x:c r="X334" s="65" t="n">
        <x:f>TODAY()</x:f>
        <x:v>46250</x:v>
      </x:c>
    </x:row>
    <x:row r="335">
      <x:c r="A335" s="59" t="str">
        <x:v>JABLONSKI</x:v>
      </x:c>
      <x:c r="B335" s="60" t="str">
        <x:v>BARTEK</x:v>
      </x:c>
      <x:c r="C335" s="60"/>
      <x:c r="D335" s="61" t="n">
        <x:v>31516.5</x:v>
      </x:c>
      <x:c r="E335" s="62" t="n">
        <x:f>IF(OR(D335="",X335=""),"",IFERROR(DATEDIF(D335,X335,"y"),""))</x:f>
        <x:v>40</x:v>
      </x:c>
      <x:c r="F335" s="60"/>
      <x:c r="G335" s="63"/>
      <x:c r="H335" s="63"/>
      <x:c r="I335" s="61"/>
      <x:c r="J335" s="64" t="str">
        <x:f>IF(OR(I335="",X335=""),"",IFERROR(DATEDIF(I335,X335,"m")/12,""))</x:f>
      </x:c>
      <x:c r="K335" s="60" t="str">
        <x:v>37 CLAPHAM COMMON NORTH SIDE, LONDON, SW4 0RW</x:v>
      </x:c>
      <x:c r="L335" s="60" t="str">
        <x:v> SW4 0RW</x:v>
      </x:c>
      <x:c r="M335" s="60"/>
      <x:c r="N335" s="60" t="str">
        <x:v>SW4 0RW</x:v>
      </x:c>
      <x:c r="O335" s="61"/>
      <x:c r="P335" s="64" t="str">
        <x:f>IF(OR(O335="",I335=""),"",IFERROR(DATEDIF(O335,I335,"m")/12,""))</x:f>
      </x:c>
      <x:c r="Q335" s="60"/>
      <x:c r="R335" s="61"/>
      <x:c r="S335" s="64" t="str">
        <x:f>IF(OR(R335="",X335=""),"",IFERROR(DATEDIF(R335,X335,"m")/12,""))</x:f>
      </x:c>
      <x:c r="T335" s="60"/>
      <x:c r="U335" s="60"/>
      <x:c r="V335" s="60"/>
      <x:c r="W335" s="63"/>
      <x:c r="X335" s="65" t="n">
        <x:f>TODAY()</x:f>
        <x:v>46250</x:v>
      </x:c>
    </x:row>
    <x:row r="336">
      <x:c r="A336" s="59" t="str">
        <x:v>JALALI</x:v>
      </x:c>
      <x:c r="B336" s="60" t="str">
        <x:v>SIAVASH</x:v>
      </x:c>
      <x:c r="C336" s="60"/>
      <x:c r="D336" s="61"/>
      <x:c r="E336" s="62" t="str">
        <x:f>IF(OR(D336="",X336=""),"",IFERROR(DATEDIF(D336,X336,"y"),""))</x:f>
      </x:c>
      <x:c r="F336" s="60"/>
      <x:c r="G336" s="63"/>
      <x:c r="H336" s="63"/>
      <x:c r="I336" s="61" t="n">
        <x:v>43070.5</x:v>
      </x:c>
      <x:c r="J336" s="64" t="n">
        <x:f>IF(OR(I336="",X336=""),"",IFERROR(DATEDIF(I336,X336,"m")/12,""))</x:f>
        <x:v>8.666666666666666</x:v>
      </x:c>
      <x:c r="K336" s="60" t="str">
        <x:v>FLAT 4, 27 REDCLIFFE SQUARE, LONDON, SW10 9JX</x:v>
      </x:c>
      <x:c r="L336" s="60" t="str">
        <x:v> SW10 9JX</x:v>
      </x:c>
      <x:c r="M336" s="60"/>
      <x:c r="N336" s="60" t="str">
        <x:v>SW10 9JX</x:v>
      </x:c>
      <x:c r="O336" s="61"/>
      <x:c r="P336" s="64" t="str">
        <x:f>IF(OR(O336="",I336=""),"",IFERROR(DATEDIF(O336,I336,"m")/12,""))</x:f>
      </x:c>
      <x:c r="Q336" s="60"/>
      <x:c r="R336" s="61"/>
      <x:c r="S336" s="64" t="str">
        <x:f>IF(OR(R336="",X336=""),"",IFERROR(DATEDIF(R336,X336,"m")/12,""))</x:f>
      </x:c>
      <x:c r="T336" s="60"/>
      <x:c r="U336" s="60"/>
      <x:c r="V336" s="60"/>
      <x:c r="W336" s="63"/>
      <x:c r="X336" s="65" t="n">
        <x:f>TODAY()</x:f>
        <x:v>46250</x:v>
      </x:c>
    </x:row>
    <x:row r="337">
      <x:c r="A337" s="59" t="str">
        <x:v>JAMES</x:v>
      </x:c>
      <x:c r="B337" s="60" t="str">
        <x:v>INDIA</x:v>
      </x:c>
      <x:c r="C337" s="60" t="str">
        <x:v>ROSE</x:v>
      </x:c>
      <x:c r="D337" s="61"/>
      <x:c r="E337" s="62" t="str">
        <x:f>IF(OR(D337="",X337=""),"",IFERROR(DATEDIF(D337,X337,"y"),""))</x:f>
      </x:c>
      <x:c r="F337" s="60"/>
      <x:c r="G337" s="63"/>
      <x:c r="H337" s="63"/>
      <x:c r="I337" s="61"/>
      <x:c r="J337" s="64" t="str">
        <x:f>IF(OR(I337="",X337=""),"",IFERROR(DATEDIF(I337,X337,"m")/12,""))</x:f>
      </x:c>
      <x:c r="K337" s="60" t="str">
        <x:v>FLAT 34, SOHO LOFTS, 10 RICHMOND MEWS, W1D 3DD</x:v>
      </x:c>
      <x:c r="L337" s="60"/>
      <x:c r="M337" s="60"/>
      <x:c r="N337" s="60"/>
      <x:c r="O337" s="61"/>
      <x:c r="P337" s="64" t="str">
        <x:f>IF(OR(O337="",I337=""),"",IFERROR(DATEDIF(O337,I337,"m")/12,""))</x:f>
      </x:c>
      <x:c r="Q337" s="60"/>
      <x:c r="R337" s="61"/>
      <x:c r="S337" s="64" t="str">
        <x:f>IF(OR(R337="",X337=""),"",IFERROR(DATEDIF(R337,X337,"m")/12,""))</x:f>
      </x:c>
      <x:c r="T337" s="60"/>
      <x:c r="U337" s="60"/>
      <x:c r="V337" s="60"/>
      <x:c r="W337" s="63"/>
      <x:c r="X337" s="65" t="n">
        <x:f>TODAY()</x:f>
        <x:v>46250</x:v>
      </x:c>
    </x:row>
    <x:row r="338">
      <x:c r="A338" s="59" t="str">
        <x:v>JAYED</x:v>
      </x:c>
      <x:c r="B338" s="60" t="str">
        <x:v>FATIMA</x:v>
      </x:c>
      <x:c r="C338" s="60"/>
      <x:c r="D338" s="61" t="n">
        <x:v>29099.5</x:v>
      </x:c>
      <x:c r="E338" s="62" t="n">
        <x:f>IF(OR(D338="",X338=""),"",IFERROR(DATEDIF(D338,X338,"y"),""))</x:f>
        <x:v>46</x:v>
      </x:c>
      <x:c r="F338" s="60"/>
      <x:c r="G338" s="63"/>
      <x:c r="H338" s="63"/>
      <x:c r="I338" s="61"/>
      <x:c r="J338" s="64" t="str">
        <x:f>IF(OR(I338="",X338=""),"",IFERROR(DATEDIF(I338,X338,"m")/12,""))</x:f>
      </x:c>
      <x:c r="K338" s="60" t="str">
        <x:v>SECOND FLOOR FLAT, 16 SPRING STREET, LONDON, W2 3RA</x:v>
      </x:c>
      <x:c r="L338" s="60" t="str">
        <x:v> W2 3RA</x:v>
      </x:c>
      <x:c r="M338" s="60"/>
      <x:c r="N338" s="60" t="str">
        <x:v>W2 3RA</x:v>
      </x:c>
      <x:c r="O338" s="61"/>
      <x:c r="P338" s="64" t="str">
        <x:f>IF(OR(O338="",I338=""),"",IFERROR(DATEDIF(O338,I338,"m")/12,""))</x:f>
      </x:c>
      <x:c r="Q338" s="60"/>
      <x:c r="R338" s="61"/>
      <x:c r="S338" s="64" t="str">
        <x:f>IF(OR(R338="",X338=""),"",IFERROR(DATEDIF(R338,X338,"m")/12,""))</x:f>
      </x:c>
      <x:c r="T338" s="60"/>
      <x:c r="U338" s="60"/>
      <x:c r="V338" s="60"/>
      <x:c r="W338" s="63"/>
      <x:c r="X338" s="65" t="n">
        <x:f>TODAY()</x:f>
        <x:v>46250</x:v>
      </x:c>
    </x:row>
    <x:row r="339">
      <x:c r="A339" s="59" t="str">
        <x:v>JESS</x:v>
      </x:c>
      <x:c r="B339" s="60" t="str">
        <x:v>TORBEN</x:v>
      </x:c>
      <x:c r="C339" s="60"/>
      <x:c r="D339" s="61" t="n">
        <x:v>32043.5</x:v>
      </x:c>
      <x:c r="E339" s="62" t="n">
        <x:f>IF(OR(D339="",X339=""),"",IFERROR(DATEDIF(D339,X339,"y"),""))</x:f>
        <x:v>38</x:v>
      </x:c>
      <x:c r="F339" s="60"/>
      <x:c r="G339" s="63"/>
      <x:c r="H339" s="63"/>
      <x:c r="I339" s="61"/>
      <x:c r="J339" s="64" t="str">
        <x:f>IF(OR(I339="",X339=""),"",IFERROR(DATEDIF(I339,X339,"m")/12,""))</x:f>
      </x:c>
      <x:c r="K339" s="60" t="str">
        <x:v>65 ST MICHAELS STREET, FIRST FLOOR, LONDON, W2 1QR</x:v>
      </x:c>
      <x:c r="L339" s="60" t="str">
        <x:v> W2 1QR</x:v>
      </x:c>
      <x:c r="M339" s="60"/>
      <x:c r="N339" s="60" t="str">
        <x:v>W2 1QR</x:v>
      </x:c>
      <x:c r="O339" s="61"/>
      <x:c r="P339" s="64" t="str">
        <x:f>IF(OR(O339="",I339=""),"",IFERROR(DATEDIF(O339,I339,"m")/12,""))</x:f>
      </x:c>
      <x:c r="Q339" s="60"/>
      <x:c r="R339" s="61"/>
      <x:c r="S339" s="64" t="str">
        <x:f>IF(OR(R339="",X339=""),"",IFERROR(DATEDIF(R339,X339,"m")/12,""))</x:f>
      </x:c>
      <x:c r="T339" s="60"/>
      <x:c r="U339" s="60"/>
      <x:c r="V339" s="60"/>
      <x:c r="W339" s="63"/>
      <x:c r="X339" s="65" t="n">
        <x:f>TODAY()</x:f>
        <x:v>46250</x:v>
      </x:c>
    </x:row>
    <x:row r="340">
      <x:c r="A340" s="59" t="str">
        <x:v>JETHWA</x:v>
      </x:c>
      <x:c r="B340" s="60" t="str">
        <x:v>JAY</x:v>
      </x:c>
      <x:c r="C340" s="60" t="str">
        <x:v>KETAN</x:v>
      </x:c>
      <x:c r="D340" s="61" t="n">
        <x:v>36698.5</x:v>
      </x:c>
      <x:c r="E340" s="62" t="n">
        <x:f>IF(OR(D340="",X340=""),"",IFERROR(DATEDIF(D340,X340,"y"),""))</x:f>
        <x:v>26</x:v>
      </x:c>
      <x:c r="F340" s="60" t="str">
        <x:v>GOHIL</x:v>
      </x:c>
      <x:c r="G340" s="63"/>
      <x:c r="H340" s="63" t="str">
        <x:v>PG376716A</x:v>
      </x:c>
      <x:c r="I340" s="61"/>
      <x:c r="J340" s="64" t="str">
        <x:f>IF(OR(I340="",X340=""),"",IFERROR(DATEDIF(I340,X340,"m")/12,""))</x:f>
      </x:c>
      <x:c r="K340" s="60" t="str">
        <x:v>47B QUEENS GATE SOUTH KENSINGTON SW7 5JN</x:v>
      </x:c>
      <x:c r="L340" s="60"/>
      <x:c r="M340" s="60"/>
      <x:c r="N340" s="60"/>
      <x:c r="O340" s="61"/>
      <x:c r="P340" s="64" t="str">
        <x:f>IF(OR(O340="",I340=""),"",IFERROR(DATEDIF(O340,I340,"m")/12,""))</x:f>
      </x:c>
      <x:c r="Q340" s="60"/>
      <x:c r="R340" s="61"/>
      <x:c r="S340" s="64" t="str">
        <x:f>IF(OR(R340="",X340=""),"",IFERROR(DATEDIF(R340,X340,"m")/12,""))</x:f>
      </x:c>
      <x:c r="T340" s="60"/>
      <x:c r="U340" s="60"/>
      <x:c r="V340" s="60"/>
      <x:c r="W340" s="63"/>
      <x:c r="X340" s="65" t="n">
        <x:f>TODAY()</x:f>
        <x:v>46250</x:v>
      </x:c>
    </x:row>
    <x:row r="341">
      <x:c r="A341" s="59" t="str">
        <x:v>JOCHIMS</x:v>
      </x:c>
      <x:c r="B341" s="60" t="str">
        <x:v>MARK</x:v>
      </x:c>
      <x:c r="C341" s="60"/>
      <x:c r="D341" s="61" t="n">
        <x:v>28661.5</x:v>
      </x:c>
      <x:c r="E341" s="62" t="n">
        <x:f>IF(OR(D341="",X341=""),"",IFERROR(DATEDIF(D341,X341,"y"),""))</x:f>
        <x:v>48</x:v>
      </x:c>
      <x:c r="F341" s="60"/>
      <x:c r="G341" s="63"/>
      <x:c r="H341" s="63"/>
      <x:c r="I341" s="61" t="n">
        <x:v>43678.5</x:v>
      </x:c>
      <x:c r="J341" s="64" t="n">
        <x:f>IF(OR(I341="",X341=""),"",IFERROR(DATEDIF(I341,X341,"m")/12,""))</x:f>
        <x:v>7</x:v>
      </x:c>
      <x:c r="K341" s="60" t="str">
        <x:v>FLAT 2, 29 CORNWALL GARDENS, LONDON, SW7 4AP</x:v>
      </x:c>
      <x:c r="L341" s="60" t="str">
        <x:v> SW7 4AP</x:v>
      </x:c>
      <x:c r="M341" s="60"/>
      <x:c r="N341" s="60" t="str">
        <x:v>SW7 4AP</x:v>
      </x:c>
      <x:c r="O341" s="61" t="n">
        <x:v>40664.5</x:v>
      </x:c>
      <x:c r="P341" s="64" t="n">
        <x:f>IF(OR(O341="",I341=""),"",IFERROR(DATEDIF(O341,I341,"m")/12,""))</x:f>
        <x:v>8.25</x:v>
      </x:c>
      <x:c r="Q341" s="60" t="str">
        <x:v>FLAT 1, 5, ELVASTON PLACE, KNIGHTSBRIDGE, LONDON, SW7 5QQ</x:v>
      </x:c>
      <x:c r="R341" s="61" t="n">
        <x:v>44562.5</x:v>
      </x:c>
      <x:c r="S341" s="64" t="n">
        <x:f>IF(OR(R341="",X341=""),"",IFERROR(DATEDIF(R341,X341,"m")/12,""))</x:f>
        <x:v>4.583333333333333</x:v>
      </x:c>
      <x:c r="T341" s="60" t="str">
        <x:v>HEAD OF EUROPEAN PRIVATE CREDIT</x:v>
      </x:c>
      <x:c r="U341" s="60" t="str">
        <x:v>MORGAN STANLEY</x:v>
      </x:c>
      <x:c r="V341" s="60" t="str">
        <x:v>25 CABOT SQUARE, LONDON E14 4QA</x:v>
      </x:c>
      <x:c r="W341" s="63"/>
      <x:c r="X341" s="65" t="n">
        <x:f>TODAY()</x:f>
        <x:v>46250</x:v>
      </x:c>
    </x:row>
    <x:row r="342">
      <x:c r="A342" s="59" t="str">
        <x:v>JOCHIMS</x:v>
      </x:c>
      <x:c r="B342" s="60" t="str">
        <x:v>MARK</x:v>
      </x:c>
      <x:c r="C342" s="60"/>
      <x:c r="D342" s="61"/>
      <x:c r="E342" s="62" t="str">
        <x:f>IF(OR(D342="",X342=""),"",IFERROR(DATEDIF(D342,X342,"y"),""))</x:f>
      </x:c>
      <x:c r="F342" s="60"/>
      <x:c r="G342" s="63"/>
      <x:c r="H342" s="63"/>
      <x:c r="I342" s="61"/>
      <x:c r="J342" s="64" t="str">
        <x:f>IF(OR(I342="",X342=""),"",IFERROR(DATEDIF(I342,X342,"m")/12,""))</x:f>
      </x:c>
      <x:c r="K342" s="60"/>
      <x:c r="L342" s="60"/>
      <x:c r="M342" s="60"/>
      <x:c r="N342" s="60"/>
      <x:c r="O342" s="61"/>
      <x:c r="P342" s="64" t="str">
        <x:f>IF(OR(O342="",I342=""),"",IFERROR(DATEDIF(O342,I342,"m")/12,""))</x:f>
      </x:c>
      <x:c r="Q342" s="60"/>
      <x:c r="R342" s="61"/>
      <x:c r="S342" s="64" t="str">
        <x:f>IF(OR(R342="",X342=""),"",IFERROR(DATEDIF(R342,X342,"m")/12,""))</x:f>
      </x:c>
      <x:c r="T342" s="60"/>
      <x:c r="U342" s="60"/>
      <x:c r="V342" s="60"/>
      <x:c r="W342" s="63"/>
      <x:c r="X342" s="65" t="n">
        <x:f>TODAY()</x:f>
        <x:v>46250</x:v>
      </x:c>
    </x:row>
    <x:row r="343">
      <x:c r="A343" s="59" t="str">
        <x:v>JOHNS</x:v>
      </x:c>
      <x:c r="B343" s="60" t="str">
        <x:v>ROBERT</x:v>
      </x:c>
      <x:c r="C343" s="60" t="str">
        <x:v>ANDREW OLIVER</x:v>
      </x:c>
      <x:c r="D343" s="61" t="n">
        <x:v>32586.5</x:v>
      </x:c>
      <x:c r="E343" s="62" t="n">
        <x:f>IF(OR(D343="",X343=""),"",IFERROR(DATEDIF(D343,X343,"y"),""))</x:f>
        <x:v>37</x:v>
      </x:c>
      <x:c r="F343" s="60" t="str">
        <x:v>SLAYTER</x:v>
      </x:c>
      <x:c r="G343" s="63" t="str">
        <x:v>07552164486</x:v>
      </x:c>
      <x:c r="H343" s="63"/>
      <x:c r="I343" s="61" t="n">
        <x:v>41883.5</x:v>
      </x:c>
      <x:c r="J343" s="64" t="n">
        <x:f>IF(OR(I343="",X343=""),"",IFERROR(DATEDIF(I343,X343,"m")/12,""))</x:f>
        <x:v>11.916666666666666</x:v>
      </x:c>
      <x:c r="K343" s="60" t="str">
        <x:v>4 COMYN ROAD, LONDON, SW11 1QD</x:v>
      </x:c>
      <x:c r="L343" s="60" t="str">
        <x:v> SW11 1QD</x:v>
      </x:c>
      <x:c r="M343" s="60"/>
      <x:c r="N343" s="60" t="str">
        <x:v>SW11 1QD</x:v>
      </x:c>
      <x:c r="O343" s="61"/>
      <x:c r="P343" s="64" t="str">
        <x:f>IF(OR(O343="",I343=""),"",IFERROR(DATEDIF(O343,I343,"m")/12,""))</x:f>
      </x:c>
      <x:c r="Q343" s="60"/>
      <x:c r="R343" s="61"/>
      <x:c r="S343" s="64" t="str">
        <x:f>IF(OR(R343="",X343=""),"",IFERROR(DATEDIF(R343,X343,"m")/12,""))</x:f>
      </x:c>
      <x:c r="T343" s="60"/>
      <x:c r="U343" s="60"/>
      <x:c r="V343" s="60"/>
      <x:c r="W343" s="63"/>
      <x:c r="X343" s="65" t="n">
        <x:f>TODAY()</x:f>
        <x:v>46250</x:v>
      </x:c>
    </x:row>
    <x:row r="344">
      <x:c r="A344" s="59" t="str">
        <x:v>JOHNSON</x:v>
      </x:c>
      <x:c r="B344" s="60" t="str">
        <x:v>PAUL</x:v>
      </x:c>
      <x:c r="C344" s="60" t="str">
        <x:v>STUART</x:v>
      </x:c>
      <x:c r="D344" s="61"/>
      <x:c r="E344" s="62" t="str">
        <x:f>IF(OR(D344="",X344=""),"",IFERROR(DATEDIF(D344,X344,"y"),""))</x:f>
      </x:c>
      <x:c r="F344" s="60"/>
      <x:c r="G344" s="63"/>
      <x:c r="H344" s="63"/>
      <x:c r="I344" s="61"/>
      <x:c r="J344" s="64" t="str">
        <x:f>IF(OR(I344="",X344=""),"",IFERROR(DATEDIF(I344,X344,"m")/12,""))</x:f>
      </x:c>
      <x:c r="K344" s="60" t="str">
        <x:v>82 CHEPSTOW ROAD, LONDON, W2 5QP</x:v>
      </x:c>
      <x:c r="L344" s="60" t="str">
        <x:v> W2 5QP</x:v>
      </x:c>
      <x:c r="M344" s="60"/>
      <x:c r="N344" s="60" t="str">
        <x:v>W2 5QP</x:v>
      </x:c>
      <x:c r="O344" s="61"/>
      <x:c r="P344" s="64" t="str">
        <x:f>IF(OR(O344="",I344=""),"",IFERROR(DATEDIF(O344,I344,"m")/12,""))</x:f>
      </x:c>
      <x:c r="Q344" s="60"/>
      <x:c r="R344" s="61"/>
      <x:c r="S344" s="64" t="str">
        <x:f>IF(OR(R344="",X344=""),"",IFERROR(DATEDIF(R344,X344,"m")/12,""))</x:f>
      </x:c>
      <x:c r="T344" s="60"/>
      <x:c r="U344" s="60" t="str">
        <x:v>WLLIAM HILL ORGANISATION LTD</x:v>
      </x:c>
      <x:c r="V344" s="60"/>
      <x:c r="W344" s="63"/>
      <x:c r="X344" s="65" t="n">
        <x:f>TODAY()</x:f>
        <x:v>46250</x:v>
      </x:c>
    </x:row>
    <x:row r="345">
      <x:c r="A345" s="59" t="str">
        <x:v>JOHNSSON</x:v>
      </x:c>
      <x:c r="B345" s="60" t="str">
        <x:v>EMANUEL</x:v>
      </x:c>
      <x:c r="C345" s="60"/>
      <x:c r="D345" s="61" t="n">
        <x:v>29530.5</x:v>
      </x:c>
      <x:c r="E345" s="62" t="n">
        <x:f>IF(OR(D345="",X345=""),"",IFERROR(DATEDIF(D345,X345,"y"),""))</x:f>
        <x:v>45</x:v>
      </x:c>
      <x:c r="F345" s="60"/>
      <x:c r="G345" s="63"/>
      <x:c r="H345" s="63"/>
      <x:c r="I345" s="61"/>
      <x:c r="J345" s="64" t="str">
        <x:f>IF(OR(I345="",X345=""),"",IFERROR(DATEDIF(I345,X345,"m")/12,""))</x:f>
      </x:c>
      <x:c r="K345" s="60" t="str">
        <x:v>FLAT 2, 39-40 GLEBE PLACE, LONDON, SW3 5JH</x:v>
      </x:c>
      <x:c r="L345" s="60" t="str">
        <x:v> SW3 5JH</x:v>
      </x:c>
      <x:c r="M345" s="60"/>
      <x:c r="N345" s="60" t="str">
        <x:v>SW3 5JH</x:v>
      </x:c>
      <x:c r="O345" s="61"/>
      <x:c r="P345" s="64" t="str">
        <x:f>IF(OR(O345="",I345=""),"",IFERROR(DATEDIF(O345,I345,"m")/12,""))</x:f>
      </x:c>
      <x:c r="Q345" s="60"/>
      <x:c r="R345" s="61"/>
      <x:c r="S345" s="64" t="str">
        <x:f>IF(OR(R345="",X345=""),"",IFERROR(DATEDIF(R345,X345,"m")/12,""))</x:f>
      </x:c>
      <x:c r="T345" s="60"/>
      <x:c r="U345" s="60"/>
      <x:c r="V345" s="60"/>
      <x:c r="W345" s="63"/>
      <x:c r="X345" s="65" t="n">
        <x:f>TODAY()</x:f>
        <x:v>46250</x:v>
      </x:c>
    </x:row>
    <x:row r="346">
      <x:c r="A346" s="59" t="str">
        <x:v>JOHNSTONE</x:v>
      </x:c>
      <x:c r="B346" s="60" t="str">
        <x:v>KATRI0NA</x:v>
      </x:c>
      <x:c r="C346" s="60" t="str">
        <x:v>ALINE</x:v>
      </x:c>
      <x:c r="D346" s="61" t="n">
        <x:v>35393.5</x:v>
      </x:c>
      <x:c r="E346" s="62" t="n">
        <x:f>IF(OR(D346="",X346=""),"",IFERROR(DATEDIF(D346,X346,"y"),""))</x:f>
        <x:v>29</x:v>
      </x:c>
      <x:c r="F346" s="60" t="str">
        <x:v>SGOVIANO</x:v>
      </x:c>
      <x:c r="G346" s="63"/>
      <x:c r="H346" s="63"/>
      <x:c r="I346" s="61"/>
      <x:c r="J346" s="64" t="str">
        <x:f>IF(OR(I346="",X346=""),"",IFERROR(DATEDIF(I346,X346,"m")/12,""))</x:f>
      </x:c>
      <x:c r="K346" s="60" t="str">
        <x:v>FLAT 1, 376 NORTH END ROAD, LONDON, SW6 1LY</x:v>
      </x:c>
      <x:c r="L346" s="60" t="str">
        <x:v> SW6 1LY</x:v>
      </x:c>
      <x:c r="M346" s="60"/>
      <x:c r="N346" s="60" t="str">
        <x:v>SW6 1LY</x:v>
      </x:c>
      <x:c r="O346" s="61"/>
      <x:c r="P346" s="64" t="str">
        <x:f>IF(OR(O346="",I346=""),"",IFERROR(DATEDIF(O346,I346,"m")/12,""))</x:f>
      </x:c>
      <x:c r="Q346" s="60"/>
      <x:c r="R346" s="61"/>
      <x:c r="S346" s="64" t="str">
        <x:f>IF(OR(R346="",X346=""),"",IFERROR(DATEDIF(R346,X346,"m")/12,""))</x:f>
      </x:c>
      <x:c r="T346" s="60"/>
      <x:c r="U346" s="60"/>
      <x:c r="V346" s="60"/>
      <x:c r="W346" s="63"/>
      <x:c r="X346" s="65" t="n">
        <x:f>TODAY()</x:f>
        <x:v>46250</x:v>
      </x:c>
    </x:row>
    <x:row r="347">
      <x:c r="A347" s="59" t="str">
        <x:v>JOHNSTONE</x:v>
      </x:c>
      <x:c r="B347" s="60" t="str">
        <x:v>ROSS</x:v>
      </x:c>
      <x:c r="C347" s="60" t="str">
        <x:v>CAMERON</x:v>
      </x:c>
      <x:c r="D347" s="61" t="n">
        <x:v>32144.5</x:v>
      </x:c>
      <x:c r="E347" s="62" t="n">
        <x:f>IF(OR(D347="",X347=""),"",IFERROR(DATEDIF(D347,X347,"y"),""))</x:f>
        <x:v>38</x:v>
      </x:c>
      <x:c r="F347" s="60" t="str">
        <x:v>TILLEY</x:v>
      </x:c>
      <x:c r="G347" s="63" t="str">
        <x:v>07943942601</x:v>
      </x:c>
      <x:c r="H347" s="63"/>
      <x:c r="I347" s="61" t="n">
        <x:v>42979.5</x:v>
      </x:c>
      <x:c r="J347" s="64" t="n">
        <x:f>IF(OR(I347="",X347=""),"",IFERROR(DATEDIF(I347,X347,"m")/12,""))</x:f>
        <x:v>8.916666666666666</x:v>
      </x:c>
      <x:c r="K347" s="60" t="str">
        <x:v>FLAT 1, 376 NORTH END ROAD, LONDON, SW6 1LY</x:v>
      </x:c>
      <x:c r="L347" s="60" t="str">
        <x:v> SW6 1LY</x:v>
      </x:c>
      <x:c r="M347" s="60"/>
      <x:c r="N347" s="60" t="str">
        <x:v>SW6 1LY</x:v>
      </x:c>
      <x:c r="O347" s="61"/>
      <x:c r="P347" s="64" t="str">
        <x:f>IF(OR(O347="",I347=""),"",IFERROR(DATEDIF(O347,I347,"m")/12,""))</x:f>
      </x:c>
      <x:c r="Q347" s="60"/>
      <x:c r="R347" s="61"/>
      <x:c r="S347" s="64" t="str">
        <x:f>IF(OR(R347="",X347=""),"",IFERROR(DATEDIF(R347,X347,"m")/12,""))</x:f>
      </x:c>
      <x:c r="T347" s="60"/>
      <x:c r="U347" s="60"/>
      <x:c r="V347" s="60"/>
      <x:c r="W347" s="63"/>
      <x:c r="X347" s="65" t="n">
        <x:f>TODAY()</x:f>
        <x:v>46250</x:v>
      </x:c>
    </x:row>
    <x:row r="348">
      <x:c r="A348" s="59" t="str">
        <x:v>JONES</x:v>
      </x:c>
      <x:c r="B348" s="60" t="str">
        <x:v>IAN</x:v>
      </x:c>
      <x:c r="C348" s="60" t="str">
        <x:v>ELLIS</x:v>
      </x:c>
      <x:c r="D348" s="61" t="n">
        <x:v>16369.5</x:v>
      </x:c>
      <x:c r="E348" s="62" t="n">
        <x:f>IF(OR(D348="",X348=""),"",IFERROR(DATEDIF(D348,X348,"y"),""))</x:f>
        <x:v>81</x:v>
      </x:c>
      <x:c r="F348" s="60" t="str">
        <x:v>KNIGHT</x:v>
      </x:c>
      <x:c r="G348" s="63" t="str">
        <x:v>07983141896</x:v>
      </x:c>
      <x:c r="H348" s="63"/>
      <x:c r="I348" s="61" t="n">
        <x:v>37288.5</x:v>
      </x:c>
      <x:c r="J348" s="64" t="n">
        <x:f>IF(OR(I348="",X348=""),"",IFERROR(DATEDIF(I348,X348,"m")/12,""))</x:f>
        <x:v>24.5</x:v>
      </x:c>
      <x:c r="K348" s="60" t="str">
        <x:v>FLAT 5 47 CLANRICARDE GARDENS, LONDON, LONDON, W2 4JN</x:v>
      </x:c>
      <x:c r="L348" s="60" t="str">
        <x:v> LONDON, W2 4JN</x:v>
      </x:c>
      <x:c r="M348" s="60"/>
      <x:c r="N348" s="60" t="str">
        <x:v> W2 4JN</x:v>
      </x:c>
      <x:c r="O348" s="61"/>
      <x:c r="P348" s="64" t="str">
        <x:f>IF(OR(O348="",I348=""),"",IFERROR(DATEDIF(O348,I348,"m")/12,""))</x:f>
      </x:c>
      <x:c r="Q348" s="60"/>
      <x:c r="R348" s="61"/>
      <x:c r="S348" s="64" t="str">
        <x:f>IF(OR(R348="",X348=""),"",IFERROR(DATEDIF(R348,X348,"m")/12,""))</x:f>
      </x:c>
      <x:c r="T348" s="60"/>
      <x:c r="U348" s="60"/>
      <x:c r="V348" s="60"/>
      <x:c r="W348" s="63"/>
      <x:c r="X348" s="65" t="n">
        <x:f>TODAY()</x:f>
        <x:v>46250</x:v>
      </x:c>
    </x:row>
    <x:row r="349">
      <x:c r="A349" s="59" t="str">
        <x:v>JONES</x:v>
      </x:c>
      <x:c r="B349" s="60" t="str">
        <x:v>TIMOTHY</x:v>
      </x:c>
      <x:c r="C349" s="60" t="str">
        <x:v>HOWARD</x:v>
      </x:c>
      <x:c r="D349" s="61" t="n">
        <x:v>34898.5</x:v>
      </x:c>
      <x:c r="E349" s="62" t="n">
        <x:f>IF(OR(D349="",X349=""),"",IFERROR(DATEDIF(D349,X349,"y"),""))</x:f>
        <x:v>31</x:v>
      </x:c>
      <x:c r="F349" s="60" t="str">
        <x:v>JACKSON</x:v>
      </x:c>
      <x:c r="G349" s="63"/>
      <x:c r="H349" s="63"/>
      <x:c r="I349" s="61" t="n">
        <x:v>43739.5</x:v>
      </x:c>
      <x:c r="J349" s="64" t="n">
        <x:f>IF(OR(I349="",X349=""),"",IFERROR(DATEDIF(I349,X349,"m")/12,""))</x:f>
        <x:v>6.833333333333333</x:v>
      </x:c>
      <x:c r="K349" s="60" t="str">
        <x:v>649A FULHAM ROAD,LONDON, SW6 5PU</x:v>
      </x:c>
      <x:c r="L349" s="60" t="str">
        <x:v> SW6 5PU</x:v>
      </x:c>
      <x:c r="M349" s="60"/>
      <x:c r="N349" s="60" t="str">
        <x:v>SW6 5PU</x:v>
      </x:c>
      <x:c r="O349" s="61"/>
      <x:c r="P349" s="64" t="str">
        <x:f>IF(OR(O349="",I349=""),"",IFERROR(DATEDIF(O349,I349,"m")/12,""))</x:f>
      </x:c>
      <x:c r="Q349" s="60"/>
      <x:c r="R349" s="61"/>
      <x:c r="S349" s="64" t="str">
        <x:f>IF(OR(R349="",X349=""),"",IFERROR(DATEDIF(R349,X349,"m")/12,""))</x:f>
      </x:c>
      <x:c r="T349" s="60"/>
      <x:c r="U349" s="60"/>
      <x:c r="V349" s="60"/>
      <x:c r="W349" s="63"/>
      <x:c r="X349" s="65" t="n">
        <x:f>TODAY()</x:f>
        <x:v>46250</x:v>
      </x:c>
    </x:row>
    <x:row r="350">
      <x:c r="A350" s="59" t="str">
        <x:v>JONES</x:v>
      </x:c>
      <x:c r="B350" s="60" t="str">
        <x:v>MATTHEW</x:v>
      </x:c>
      <x:c r="C350" s="60" t="str">
        <x:v>CHARLES</x:v>
      </x:c>
      <x:c r="D350" s="61" t="n">
        <x:v>24724.5</x:v>
      </x:c>
      <x:c r="E350" s="62" t="n">
        <x:f>IF(OR(D350="",X350=""),"",IFERROR(DATEDIF(D350,X350,"y"),""))</x:f>
        <x:v>58</x:v>
      </x:c>
      <x:c r="F350" s="60"/>
      <x:c r="G350" s="63" t="str">
        <x:v>07742893499</x:v>
      </x:c>
      <x:c r="H350" s="63"/>
      <x:c r="I350" s="61" t="n">
        <x:v>38108.5</x:v>
      </x:c>
      <x:c r="J350" s="64" t="n">
        <x:f>IF(OR(I350="",X350=""),"",IFERROR(DATEDIF(I350,X350,"m")/12,""))</x:f>
        <x:v>22.25</x:v>
      </x:c>
      <x:c r="K350" s="60" t="str">
        <x:v>FLAT 8, 3 SINCLAIR GARDENS, LONDON, W14 0AU</x:v>
      </x:c>
      <x:c r="L350" s="60" t="str">
        <x:v> W14 0AU</x:v>
      </x:c>
      <x:c r="M350" s="60"/>
      <x:c r="N350" s="60" t="str">
        <x:v>W14 0AU</x:v>
      </x:c>
      <x:c r="O350" s="61"/>
      <x:c r="P350" s="64" t="str">
        <x:f>IF(OR(O350="",I350=""),"",IFERROR(DATEDIF(O350,I350,"m")/12,""))</x:f>
      </x:c>
      <x:c r="Q350" s="60"/>
      <x:c r="R350" s="61"/>
      <x:c r="S350" s="64" t="str">
        <x:f>IF(OR(R350="",X350=""),"",IFERROR(DATEDIF(R350,X350,"m")/12,""))</x:f>
      </x:c>
      <x:c r="T350" s="60"/>
      <x:c r="U350" s="60"/>
      <x:c r="V350" s="60"/>
      <x:c r="W350" s="63"/>
      <x:c r="X350" s="65" t="n">
        <x:f>TODAY()</x:f>
        <x:v>46250</x:v>
      </x:c>
    </x:row>
    <x:row r="351">
      <x:c r="A351" s="59" t="str">
        <x:v>K</x:v>
      </x:c>
      <x:c r="B351" s="60"/>
      <x:c r="C351" s="60"/>
      <x:c r="D351" s="61"/>
      <x:c r="E351" s="62" t="str">
        <x:f>IF(OR(D351="",X351=""),"",IFERROR(DATEDIF(D351,X351,"y"),""))</x:f>
      </x:c>
      <x:c r="F351" s="60"/>
      <x:c r="G351" s="63"/>
      <x:c r="H351" s="63"/>
      <x:c r="I351" s="61"/>
      <x:c r="J351" s="64" t="str">
        <x:f>IF(OR(I351="",X351=""),"",IFERROR(DATEDIF(I351,X351,"m")/12,""))</x:f>
      </x:c>
      <x:c r="K351" s="60"/>
      <x:c r="L351" s="60"/>
      <x:c r="M351" s="60"/>
      <x:c r="N351" s="60"/>
      <x:c r="O351" s="61"/>
      <x:c r="P351" s="64" t="str">
        <x:f>IF(OR(O351="",I351=""),"",IFERROR(DATEDIF(O351,I351,"m")/12,""))</x:f>
      </x:c>
      <x:c r="Q351" s="60"/>
      <x:c r="R351" s="61"/>
      <x:c r="S351" s="64" t="str">
        <x:f>IF(OR(R351="",X351=""),"",IFERROR(DATEDIF(R351,X351,"m")/12,""))</x:f>
      </x:c>
      <x:c r="T351" s="60"/>
      <x:c r="U351" s="60"/>
      <x:c r="V351" s="60"/>
      <x:c r="W351" s="63"/>
      <x:c r="X351" s="65" t="n">
        <x:f>TODAY()</x:f>
        <x:v>46250</x:v>
      </x:c>
    </x:row>
    <x:row r="352">
      <x:c r="A352" s="59" t="str">
        <x:v>KAIRYTE</x:v>
      </x:c>
      <x:c r="B352" s="60" t="str">
        <x:v>OKSANA</x:v>
      </x:c>
      <x:c r="C352" s="60"/>
      <x:c r="D352" s="61" t="n">
        <x:v>31517.5</x:v>
      </x:c>
      <x:c r="E352" s="62" t="n">
        <x:f>IF(OR(D352="",X352=""),"",IFERROR(DATEDIF(D352,X352,"y"),""))</x:f>
        <x:v>40</x:v>
      </x:c>
      <x:c r="F352" s="60"/>
      <x:c r="G352" s="63"/>
      <x:c r="H352" s="63"/>
      <x:c r="I352" s="61"/>
      <x:c r="J352" s="64" t="str">
        <x:f>IF(OR(I352="",X352=""),"",IFERROR(DATEDIF(I352,X352,"m")/12,""))</x:f>
      </x:c>
      <x:c r="K352" s="60"/>
      <x:c r="L352" s="60"/>
      <x:c r="M352" s="60"/>
      <x:c r="N352" s="60"/>
      <x:c r="O352" s="61"/>
      <x:c r="P352" s="64" t="str">
        <x:f>IF(OR(O352="",I352=""),"",IFERROR(DATEDIF(O352,I352,"m")/12,""))</x:f>
      </x:c>
      <x:c r="Q352" s="60"/>
      <x:c r="R352" s="61"/>
      <x:c r="S352" s="64" t="str">
        <x:f>IF(OR(R352="",X352=""),"",IFERROR(DATEDIF(R352,X352,"m")/12,""))</x:f>
      </x:c>
      <x:c r="T352" s="60"/>
      <x:c r="U352" s="60"/>
      <x:c r="V352" s="60"/>
      <x:c r="W352" s="63"/>
      <x:c r="X352" s="65" t="n">
        <x:f>TODAY()</x:f>
        <x:v>46250</x:v>
      </x:c>
    </x:row>
    <x:row r="353">
      <x:c r="A353" s="59" t="str">
        <x:v>KAMARA</x:v>
      </x:c>
      <x:c r="B353" s="60" t="str">
        <x:v>REGINA</x:v>
      </x:c>
      <x:c r="C353" s="60" t="str">
        <x:v>YABOME</x:v>
      </x:c>
      <x:c r="D353" s="61" t="n">
        <x:v>26465.5</x:v>
      </x:c>
      <x:c r="E353" s="62" t="n">
        <x:f>IF(OR(D353="",X353=""),"",IFERROR(DATEDIF(D353,X353,"y"),""))</x:f>
        <x:v>54</x:v>
      </x:c>
      <x:c r="F353" s="60"/>
      <x:c r="G353" s="63"/>
      <x:c r="H353" s="63"/>
      <x:c r="I353" s="61" t="n">
        <x:v>45323.5</x:v>
      </x:c>
      <x:c r="J353" s="64" t="n">
        <x:f>IF(OR(I353="",X353=""),"",IFERROR(DATEDIF(I353,X353,"m")/12,""))</x:f>
        <x:v>2.5</x:v>
      </x:c>
      <x:c r="K353" s="60" t="str">
        <x:v>12B FORDHAM COURT, 9-13 DE VERE GARDENS, LONDON W8 5AP</x:v>
      </x:c>
      <x:c r="L353" s="60"/>
      <x:c r="M353" s="60"/>
      <x:c r="N353" s="60"/>
      <x:c r="O353" s="61"/>
      <x:c r="P353" s="64" t="str">
        <x:f>IF(OR(O353="",I353=""),"",IFERROR(DATEDIF(O353,I353,"m")/12,""))</x:f>
      </x:c>
      <x:c r="Q353" s="60" t="str">
        <x:v>40G QUEENS GATE TERRACE SOUTH, LONDON, SW7 5PH</x:v>
      </x:c>
      <x:c r="R353" s="61"/>
      <x:c r="S353" s="64" t="str">
        <x:f>IF(OR(R353="",X353=""),"",IFERROR(DATEDIF(R353,X353,"m")/12,""))</x:f>
      </x:c>
      <x:c r="T353" s="60"/>
      <x:c r="U353" s="60"/>
      <x:c r="V353" s="60"/>
      <x:c r="W353" s="63"/>
      <x:c r="X353" s="65" t="n">
        <x:f>TODAY()</x:f>
        <x:v>46250</x:v>
      </x:c>
    </x:row>
    <x:row r="354">
      <x:c r="A354" s="59" t="str">
        <x:v>KAMPRAD</x:v>
      </x:c>
      <x:c r="B354" s="60" t="str">
        <x:v>NICLAS</x:v>
      </x:c>
      <x:c r="C354" s="60" t="str">
        <x:v>ACHIM MATHIAS</x:v>
      </x:c>
      <x:c r="D354" s="61" t="n">
        <x:v>25381.5</x:v>
      </x:c>
      <x:c r="E354" s="62" t="n">
        <x:f>IF(OR(D354="",X354=""),"",IFERROR(DATEDIF(D354,X354,"y"),""))</x:f>
        <x:v>57</x:v>
      </x:c>
      <x:c r="F354" s="60" t="str">
        <x:v>STENNERT</x:v>
      </x:c>
      <x:c r="G354" s="63"/>
      <x:c r="H354" s="63"/>
      <x:c r="I354" s="61"/>
      <x:c r="J354" s="64" t="str">
        <x:f>IF(OR(I354="",X354=""),"",IFERROR(DATEDIF(I354,X354,"m")/12,""))</x:f>
      </x:c>
      <x:c r="K354" s="60"/>
      <x:c r="L354" s="60"/>
      <x:c r="M354" s="60"/>
      <x:c r="N354" s="60"/>
      <x:c r="O354" s="61"/>
      <x:c r="P354" s="64" t="str">
        <x:f>IF(OR(O354="",I354=""),"",IFERROR(DATEDIF(O354,I354,"m")/12,""))</x:f>
      </x:c>
      <x:c r="Q354" s="60"/>
      <x:c r="R354" s="61"/>
      <x:c r="S354" s="64" t="str">
        <x:f>IF(OR(R354="",X354=""),"",IFERROR(DATEDIF(R354,X354,"m")/12,""))</x:f>
      </x:c>
      <x:c r="T354" s="60"/>
      <x:c r="U354" s="60"/>
      <x:c r="V354" s="60"/>
      <x:c r="W354" s="63"/>
      <x:c r="X354" s="65" t="n">
        <x:f>TODAY()</x:f>
        <x:v>46250</x:v>
      </x:c>
    </x:row>
    <x:row r="355">
      <x:c r="A355" s="59" t="str">
        <x:v>KANAAN</x:v>
      </x:c>
      <x:c r="B355" s="60" t="str">
        <x:v>GEORGE</x:v>
      </x:c>
      <x:c r="C355" s="60" t="str">
        <x:v>PHILIPPE</x:v>
      </x:c>
      <x:c r="D355" s="61" t="n">
        <x:v>19986.5</x:v>
      </x:c>
      <x:c r="E355" s="62" t="n">
        <x:f>IF(OR(D355="",X355=""),"",IFERROR(DATEDIF(D355,X355,"y"),""))</x:f>
        <x:v>71</x:v>
      </x:c>
      <x:c r="F355" s="60" t="str">
        <x:v>KANAAN</x:v>
      </x:c>
      <x:c r="G355" s="63" t="str">
        <x:v>07535520486</x:v>
      </x:c>
      <x:c r="H355" s="63" t="str">
        <x:v>NX333808D</x:v>
      </x:c>
      <x:c r="I355" s="61" t="n">
        <x:v>42278.5</x:v>
      </x:c>
      <x:c r="J355" s="64" t="n">
        <x:f>IF(OR(I355="",X355=""),"",IFERROR(DATEDIF(I355,X355,"m")/12,""))</x:f>
        <x:v>10.833333333333334</x:v>
      </x:c>
      <x:c r="K355" s="60" t="str">
        <x:v>FLAT C, 26/27 QUEEN'S GATE GARDENS, LONDON , SW7 5RP</x:v>
      </x:c>
      <x:c r="L355" s="60"/>
      <x:c r="M355" s="60"/>
      <x:c r="N355" s="60"/>
      <x:c r="O355" s="61"/>
      <x:c r="P355" s="64" t="str">
        <x:f>IF(OR(O355="",I355=""),"",IFERROR(DATEDIF(O355,I355,"m")/12,""))</x:f>
      </x:c>
      <x:c r="Q355" s="60"/>
      <x:c r="R355" s="61"/>
      <x:c r="S355" s="64" t="str">
        <x:f>IF(OR(R355="",X355=""),"",IFERROR(DATEDIF(R355,X355,"m")/12,""))</x:f>
      </x:c>
      <x:c r="T355" s="60"/>
      <x:c r="U355" s="60" t="str">
        <x:v>LONDON22</x:v>
      </x:c>
      <x:c r="V355" s="60"/>
      <x:c r="W355" s="63"/>
      <x:c r="X355" s="65" t="n">
        <x:f>TODAY()</x:f>
        <x:v>46250</x:v>
      </x:c>
    </x:row>
    <x:row r="356">
      <x:c r="A356" s="59" t="str">
        <x:v>KANAAN</x:v>
      </x:c>
      <x:c r="B356" s="60" t="str">
        <x:v>ZEINA</x:v>
      </x:c>
      <x:c r="C356" s="60"/>
      <x:c r="D356" s="61" t="n">
        <x:v>23044.5</x:v>
      </x:c>
      <x:c r="E356" s="62" t="n">
        <x:f>IF(OR(D356="",X356=""),"",IFERROR(DATEDIF(D356,X356,"y"),""))</x:f>
        <x:v>63</x:v>
      </x:c>
      <x:c r="F356" s="60"/>
      <x:c r="G356" s="63"/>
      <x:c r="H356" s="63"/>
      <x:c r="I356" s="61"/>
      <x:c r="J356" s="64" t="str">
        <x:f>IF(OR(I356="",X356=""),"",IFERROR(DATEDIF(I356,X356,"m")/12,""))</x:f>
      </x:c>
      <x:c r="K356" s="60"/>
      <x:c r="L356" s="60"/>
      <x:c r="M356" s="60"/>
      <x:c r="N356" s="60"/>
      <x:c r="O356" s="61"/>
      <x:c r="P356" s="64" t="str">
        <x:f>IF(OR(O356="",I356=""),"",IFERROR(DATEDIF(O356,I356,"m")/12,""))</x:f>
      </x:c>
      <x:c r="Q356" s="60"/>
      <x:c r="R356" s="61"/>
      <x:c r="S356" s="64" t="str">
        <x:f>IF(OR(R356="",X356=""),"",IFERROR(DATEDIF(R356,X356,"m")/12,""))</x:f>
      </x:c>
      <x:c r="T356" s="60"/>
      <x:c r="U356" s="60"/>
      <x:c r="V356" s="60"/>
      <x:c r="W356" s="63"/>
      <x:c r="X356" s="65" t="n">
        <x:f>TODAY()</x:f>
        <x:v>46250</x:v>
      </x:c>
    </x:row>
    <x:row r="357">
      <x:c r="A357" s="59" t="str">
        <x:v>KANDORIA</x:v>
      </x:c>
      <x:c r="B357" s="60" t="str">
        <x:v>SABRINA</x:v>
      </x:c>
      <x:c r="C357" s="60"/>
      <x:c r="D357" s="61" t="n">
        <x:v>33006.5</x:v>
      </x:c>
      <x:c r="E357" s="62" t="n">
        <x:f>IF(OR(D357="",X357=""),"",IFERROR(DATEDIF(D357,X357,"y"),""))</x:f>
        <x:v>36</x:v>
      </x:c>
      <x:c r="F357" s="60"/>
      <x:c r="G357" s="63"/>
      <x:c r="H357" s="63"/>
      <x:c r="I357" s="61" t="n">
        <x:v>43983.5</x:v>
      </x:c>
      <x:c r="J357" s="64" t="n">
        <x:f>IF(OR(I357="",X357=""),"",IFERROR(DATEDIF(I357,X357,"m")/12,""))</x:f>
        <x:v>6.166666666666667</x:v>
      </x:c>
      <x:c r="K357" s="60" t="str">
        <x:v>FLAT 2, 268 FULHAM ROAD, LONDON, SW10 9EW</x:v>
      </x:c>
      <x:c r="L357" s="60" t="str">
        <x:v> SW10 9EW</x:v>
      </x:c>
      <x:c r="M357" s="60"/>
      <x:c r="N357" s="60" t="str">
        <x:v>SW10 9EW</x:v>
      </x:c>
      <x:c r="O357" s="61"/>
      <x:c r="P357" s="64" t="str">
        <x:f>IF(OR(O357="",I357=""),"",IFERROR(DATEDIF(O357,I357,"m")/12,""))</x:f>
      </x:c>
      <x:c r="Q357" s="60"/>
      <x:c r="R357" s="61"/>
      <x:c r="S357" s="64" t="str">
        <x:f>IF(OR(R357="",X357=""),"",IFERROR(DATEDIF(R357,X357,"m")/12,""))</x:f>
      </x:c>
      <x:c r="T357" s="60" t="str">
        <x:v>MANAGER</x:v>
      </x:c>
      <x:c r="U357" s="60" t="str">
        <x:v>ETOILE BOUTIQUE INC.</x:v>
      </x:c>
      <x:c r="V357" s="60" t="str">
        <x:v>4A BANK ST, SEVENOAKS, TONBRIDGE TN13 1UW</x:v>
      </x:c>
      <x:c r="W357" s="63" t="str">
        <x:v>01732459351</x:v>
      </x:c>
      <x:c r="X357" s="65" t="n">
        <x:f>TODAY()</x:f>
        <x:v>46250</x:v>
      </x:c>
    </x:row>
    <x:row r="358">
      <x:c r="A358" s="59" t="str">
        <x:v>KAPSALIS</x:v>
      </x:c>
      <x:c r="B358" s="60" t="str">
        <x:v>NIKOLAOS</x:v>
      </x:c>
      <x:c r="C358" s="60"/>
      <x:c r="D358" s="61" t="n">
        <x:v>32007.5</x:v>
      </x:c>
      <x:c r="E358" s="62" t="n">
        <x:f>IF(OR(D358="",X358=""),"",IFERROR(DATEDIF(D358,X358,"y"),""))</x:f>
        <x:v>38</x:v>
      </x:c>
      <x:c r="F358" s="60"/>
      <x:c r="G358" s="63" t="str">
        <x:v>07512207902</x:v>
      </x:c>
      <x:c r="H358" s="63"/>
      <x:c r="I358" s="61" t="n">
        <x:v>44317.5</x:v>
      </x:c>
      <x:c r="J358" s="64" t="n">
        <x:f>IF(OR(I358="",X358=""),"",IFERROR(DATEDIF(I358,X358,"m")/12,""))</x:f>
        <x:v>5.25</x:v>
      </x:c>
      <x:c r="K358" s="60" t="str">
        <x:v>FLAT 9, 3 SINCLAIR GARDENS, LONDON, W14 0AU</x:v>
      </x:c>
      <x:c r="L358" s="60" t="str">
        <x:v> W14 0AU</x:v>
      </x:c>
      <x:c r="M358" s="60"/>
      <x:c r="N358" s="60" t="str">
        <x:v>W14 0AU</x:v>
      </x:c>
      <x:c r="O358" s="61"/>
      <x:c r="P358" s="64" t="str">
        <x:f>IF(OR(O358="",I358=""),"",IFERROR(DATEDIF(O358,I358,"m")/12,""))</x:f>
      </x:c>
      <x:c r="Q358" s="60"/>
      <x:c r="R358" s="61" t="n">
        <x:v>44197.5</x:v>
      </x:c>
      <x:c r="S358" s="64" t="n">
        <x:f>IF(OR(R358="",X358=""),"",IFERROR(DATEDIF(R358,X358,"m")/12,""))</x:f>
        <x:v>5.583333333333333</x:v>
      </x:c>
      <x:c r="T358" s="60" t="str">
        <x:v>PRIOJECT MANAGER</x:v>
      </x:c>
      <x:c r="U358" s="60" t="str">
        <x:v>KNK SOFTWARE UK LTD.</x:v>
      </x:c>
      <x:c r="V358" s="60" t="str">
        <x:v>71-75 SHELTON STREET, COVENT GARDEN, LONDON WC2H 9JQ, GB</x:v>
      </x:c>
      <x:c r="W358" s="63"/>
      <x:c r="X358" s="65" t="n">
        <x:f>TODAY()</x:f>
        <x:v>46250</x:v>
      </x:c>
    </x:row>
    <x:row r="359">
      <x:c r="A359" s="59" t="str">
        <x:v>KARELIS</x:v>
      </x:c>
      <x:c r="B359" s="60" t="str">
        <x:v>STAVROS</x:v>
      </x:c>
      <x:c r="C359" s="60"/>
      <x:c r="D359" s="61" t="n">
        <x:v>30520.5</x:v>
      </x:c>
      <x:c r="E359" s="62" t="n">
        <x:f>IF(OR(D359="",X359=""),"",IFERROR(DATEDIF(D359,X359,"y"),""))</x:f>
        <x:v>43</x:v>
      </x:c>
      <x:c r="F359" s="60"/>
      <x:c r="G359" s="63"/>
      <x:c r="H359" s="63"/>
      <x:c r="I359" s="61" t="n">
        <x:v>41518.5</x:v>
      </x:c>
      <x:c r="J359" s="64" t="n">
        <x:f>IF(OR(I359="",X359=""),"",IFERROR(DATEDIF(I359,X359,"m")/12,""))</x:f>
        <x:v>12.916666666666666</x:v>
      </x:c>
      <x:c r="K359" s="60" t="str">
        <x:v>FLAT 3, 13 BREWER STREET, LONDON, W1F 0RH</x:v>
      </x:c>
      <x:c r="L359" s="60" t="str">
        <x:v> W1F 0RH</x:v>
      </x:c>
      <x:c r="M359" s="60"/>
      <x:c r="N359" s="60" t="str">
        <x:v>W1F 0RH</x:v>
      </x:c>
      <x:c r="O359" s="61"/>
      <x:c r="P359" s="64" t="str">
        <x:f>IF(OR(O359="",I359=""),"",IFERROR(DATEDIF(O359,I359,"m")/12,""))</x:f>
      </x:c>
      <x:c r="Q359" s="60"/>
      <x:c r="R359" s="61" t="n">
        <x:v>41030.5</x:v>
      </x:c>
      <x:c r="S359" s="64" t="n">
        <x:f>IF(OR(R359="",X359=""),"",IFERROR(DATEDIF(R359,X359,"m")/12,""))</x:f>
        <x:v>14.25</x:v>
      </x:c>
      <x:c r="T359" s="60"/>
      <x:c r="U359" s="60"/>
      <x:c r="V359" s="60"/>
      <x:c r="W359" s="63"/>
      <x:c r="X359" s="65" t="n">
        <x:f>TODAY()</x:f>
        <x:v>46250</x:v>
      </x:c>
    </x:row>
    <x:row r="360">
      <x:c r="A360" s="59" t="str">
        <x:v>KARLSSON</x:v>
      </x:c>
      <x:c r="B360" s="60" t="str">
        <x:v>SIMON</x:v>
      </x:c>
      <x:c r="C360" s="60" t="str">
        <x:v>STIG OLOV</x:v>
      </x:c>
      <x:c r="D360" s="61" t="n">
        <x:v>32587.5</x:v>
      </x:c>
      <x:c r="E360" s="62" t="n">
        <x:f>IF(OR(D360="",X360=""),"",IFERROR(DATEDIF(D360,X360,"y"),""))</x:f>
        <x:v>37</x:v>
      </x:c>
      <x:c r="F360" s="60" t="str">
        <x:v>ROENNMARK</x:v>
      </x:c>
      <x:c r="G360" s="63"/>
      <x:c r="H360" s="63"/>
      <x:c r="I360" s="61" t="n">
        <x:v>42736.5</x:v>
      </x:c>
      <x:c r="J360" s="64" t="n">
        <x:f>IF(OR(I360="",X360=""),"",IFERROR(DATEDIF(I360,X360,"m")/12,""))</x:f>
        <x:v>9.583333333333334</x:v>
      </x:c>
      <x:c r="K360" s="60" t="str">
        <x:v>FLAT 2, 82 BREWER STREET, LONDON, W1F 9UA</x:v>
      </x:c>
      <x:c r="L360" s="60" t="str">
        <x:v> W1F 9UA</x:v>
      </x:c>
      <x:c r="M360" s="60"/>
      <x:c r="N360" s="60" t="str">
        <x:v>W1F 9UA</x:v>
      </x:c>
      <x:c r="O360" s="61" t="n">
        <x:v>32568.5</x:v>
      </x:c>
      <x:c r="P360" s="64" t="n">
        <x:f>IF(OR(O360="",I360=""),"",IFERROR(DATEDIF(O360,I360,"m")/12,""))</x:f>
        <x:v>27.833333333333332</x:v>
      </x:c>
      <x:c r="Q360" s="60" t="str">
        <x:v>VERKMÄSTARGATAN 18D , 754 36 UPPSALA, GOTTSUNDA</x:v>
      </x:c>
      <x:c r="R360" s="61"/>
      <x:c r="S360" s="64" t="str">
        <x:f>IF(OR(R360="",X360=""),"",IFERROR(DATEDIF(R360,X360,"m")/12,""))</x:f>
      </x:c>
      <x:c r="T360" s="60"/>
      <x:c r="U360" s="60"/>
      <x:c r="V360" s="60"/>
      <x:c r="W360" s="63"/>
      <x:c r="X360" s="65" t="n">
        <x:f>TODAY()</x:f>
        <x:v>46250</x:v>
      </x:c>
    </x:row>
    <x:row r="361">
      <x:c r="A361" s="59" t="str">
        <x:v>KARTRIEBER</x:v>
      </x:c>
      <x:c r="B361" s="60" t="str">
        <x:v>JACK</x:v>
      </x:c>
      <x:c r="C361" s="60"/>
      <x:c r="D361" s="61" t="n">
        <x:v>33051.5</x:v>
      </x:c>
      <x:c r="E361" s="62" t="n">
        <x:f>IF(OR(D361="",X361=""),"",IFERROR(DATEDIF(D361,X361,"y"),""))</x:f>
        <x:v>36</x:v>
      </x:c>
      <x:c r="F361" s="60" t="str">
        <x:v>WISEMAN</x:v>
      </x:c>
      <x:c r="G361" s="63" t="str">
        <x:v>07535709864</x:v>
      </x:c>
      <x:c r="H361" s="63"/>
      <x:c r="I361" s="61" t="n">
        <x:v>37865.5</x:v>
      </x:c>
      <x:c r="J361" s="64" t="n">
        <x:f>IF(OR(I361="",X361=""),"",IFERROR(DATEDIF(I361,X361,"m")/12,""))</x:f>
        <x:v>22.916666666666668</x:v>
      </x:c>
      <x:c r="K361" s="60" t="str">
        <x:v>5 HARRIET HOUSE, WANDON ROAD, LONDON, SW6 5JQ</x:v>
      </x:c>
      <x:c r="L361" s="60" t="str">
        <x:v> SW6 5JQ</x:v>
      </x:c>
      <x:c r="M361" s="60"/>
      <x:c r="N361" s="60" t="str">
        <x:v>SW6 5JQ</x:v>
      </x:c>
      <x:c r="O361" s="61"/>
      <x:c r="P361" s="64" t="str">
        <x:f>IF(OR(O361="",I361=""),"",IFERROR(DATEDIF(O361,I361,"m")/12,""))</x:f>
      </x:c>
      <x:c r="Q361" s="60"/>
      <x:c r="R361" s="61" t="n">
        <x:v>44593.5</x:v>
      </x:c>
      <x:c r="S361" s="64" t="n">
        <x:f>IF(OR(R361="",X361=""),"",IFERROR(DATEDIF(R361,X361,"m")/12,""))</x:f>
        <x:v>4.5</x:v>
      </x:c>
      <x:c r="T361" s="60" t="str">
        <x:v>ACCOUNT MANAGER</x:v>
      </x:c>
      <x:c r="U361" s="60" t="str">
        <x:v>THE COLLECTIVE</x:v>
      </x:c>
      <x:c r="V361" s="60" t="str">
        <x:v>81 RIVINGTON STREET , LONDON, EC2A 3AY</x:v>
      </x:c>
      <x:c r="W361" s="63" t="str">
        <x:v>020 3633 3138</x:v>
      </x:c>
      <x:c r="X361" s="65" t="n">
        <x:f>TODAY()</x:f>
        <x:v>46250</x:v>
      </x:c>
    </x:row>
    <x:row r="362">
      <x:c r="A362" s="59" t="str">
        <x:v>KAUSAR</x:v>
      </x:c>
      <x:c r="B362" s="60" t="str">
        <x:v>TAHSEEF</x:v>
      </x:c>
      <x:c r="C362" s="60"/>
      <x:c r="D362" s="61" t="n">
        <x:v>26420.5</x:v>
      </x:c>
      <x:c r="E362" s="62" t="n">
        <x:f>IF(OR(D362="",X362=""),"",IFERROR(DATEDIF(D362,X362,"y"),""))</x:f>
        <x:v>54</x:v>
      </x:c>
      <x:c r="F362" s="60"/>
      <x:c r="G362" s="63"/>
      <x:c r="H362" s="63"/>
      <x:c r="I362" s="61"/>
      <x:c r="J362" s="64" t="str">
        <x:f>IF(OR(I362="",X362=""),"",IFERROR(DATEDIF(I362,X362,"m")/12,""))</x:f>
      </x:c>
      <x:c r="K362" s="60" t="str">
        <x:v>1 QUEENS GATE PLACE, LONDON, SW7 5NS</x:v>
      </x:c>
      <x:c r="L362" s="60" t="str">
        <x:v> SW7 5NS</x:v>
      </x:c>
      <x:c r="M362" s="60"/>
      <x:c r="N362" s="60" t="str">
        <x:v>SW7 5NS</x:v>
      </x:c>
      <x:c r="O362" s="61"/>
      <x:c r="P362" s="64" t="str">
        <x:f>IF(OR(O362="",I362=""),"",IFERROR(DATEDIF(O362,I362,"m")/12,""))</x:f>
      </x:c>
      <x:c r="Q362" s="60"/>
      <x:c r="R362" s="61"/>
      <x:c r="S362" s="64" t="str">
        <x:f>IF(OR(R362="",X362=""),"",IFERROR(DATEDIF(R362,X362,"m")/12,""))</x:f>
      </x:c>
      <x:c r="T362" s="60"/>
      <x:c r="U362" s="60"/>
      <x:c r="V362" s="60"/>
      <x:c r="W362" s="63"/>
      <x:c r="X362" s="65" t="n">
        <x:f>TODAY()</x:f>
        <x:v>46250</x:v>
      </x:c>
    </x:row>
    <x:row r="363">
      <x:c r="A363" s="59" t="str">
        <x:v>KAVOUNIDES</x:v>
      </x:c>
      <x:c r="B363" s="60" t="str">
        <x:v>CHRYSSOSTOMOS</x:v>
      </x:c>
      <x:c r="C363" s="60"/>
      <x:c r="D363" s="61" t="n">
        <x:v>27938.5</x:v>
      </x:c>
      <x:c r="E363" s="62" t="n">
        <x:f>IF(OR(D363="",X363=""),"",IFERROR(DATEDIF(D363,X363,"y"),""))</x:f>
        <x:v>50</x:v>
      </x:c>
      <x:c r="F363" s="60" t="str">
        <x:v>LEMOS</x:v>
      </x:c>
      <x:c r="G363" s="63" t="str">
        <x:v>07507855407</x:v>
      </x:c>
      <x:c r="H363" s="63"/>
      <x:c r="I363" s="61" t="n">
        <x:v>41913.5</x:v>
      </x:c>
      <x:c r="J363" s="64" t="n">
        <x:f>IF(OR(I363="",X363=""),"",IFERROR(DATEDIF(I363,X363,"m")/12,""))</x:f>
        <x:v>11.833333333333334</x:v>
      </x:c>
      <x:c r="K363" s="60" t="str">
        <x:v>FLAT 4, 47 CLANRICARDE GARDENS, LONDON, W2 4JN</x:v>
      </x:c>
      <x:c r="L363" s="60" t="str">
        <x:v> W2 4JN</x:v>
      </x:c>
      <x:c r="M363" s="60"/>
      <x:c r="N363" s="60" t="str">
        <x:v>W2 4JN</x:v>
      </x:c>
      <x:c r="O363" s="61"/>
      <x:c r="P363" s="64" t="str">
        <x:f>IF(OR(O363="",I363=""),"",IFERROR(DATEDIF(O363,I363,"m")/12,""))</x:f>
      </x:c>
      <x:c r="Q363" s="60"/>
      <x:c r="R363" s="61" t="n">
        <x:v>40603.5</x:v>
      </x:c>
      <x:c r="S363" s="64" t="n">
        <x:f>IF(OR(R363="",X363=""),"",IFERROR(DATEDIF(R363,X363,"m")/12,""))</x:f>
        <x:v>15.416666666666666</x:v>
      </x:c>
      <x:c r="T363" s="60" t="str">
        <x:v>MANAGING DIRECTOR/PARTNER</x:v>
      </x:c>
      <x:c r="U363" s="60" t="str">
        <x:v>BOSTON CONSULTING GROUP (BCG)</x:v>
      </x:c>
      <x:c r="V363" s="60" t="str">
        <x:v>20 MANCHESTER SQUARE, LONDON, W1U 3PZ</x:v>
      </x:c>
      <x:c r="W363" s="63" t="str">
        <x:v>020 7753 5353</x:v>
      </x:c>
      <x:c r="X363" s="65" t="n">
        <x:f>TODAY()</x:f>
        <x:v>46250</x:v>
      </x:c>
    </x:row>
    <x:row r="364">
      <x:c r="A364" s="59" t="str">
        <x:v>KAZAK</x:v>
      </x:c>
      <x:c r="B364" s="60" t="str">
        <x:v>ERLANDAS</x:v>
      </x:c>
      <x:c r="C364" s="60"/>
      <x:c r="D364" s="61"/>
      <x:c r="E364" s="62" t="str">
        <x:f>IF(OR(D364="",X364=""),"",IFERROR(DATEDIF(D364,X364,"y"),""))</x:f>
      </x:c>
      <x:c r="F364" s="60"/>
      <x:c r="G364" s="63"/>
      <x:c r="H364" s="63"/>
      <x:c r="I364" s="61" t="n">
        <x:v>45566.5</x:v>
      </x:c>
      <x:c r="J364" s="64" t="n">
        <x:f>IF(OR(I364="",X364=""),"",IFERROR(DATEDIF(I364,X364,"m")/12,""))</x:f>
        <x:v>1.8333333333333333</x:v>
      </x:c>
      <x:c r="K364" s="60"/>
      <x:c r="L364" s="60"/>
      <x:c r="M364" s="60"/>
      <x:c r="N364" s="60"/>
      <x:c r="O364" s="61" t="n">
        <x:v>42491.5</x:v>
      </x:c>
      <x:c r="P364" s="64" t="n">
        <x:f>IF(OR(O364="",I364=""),"",IFERROR(DATEDIF(O364,I364,"m")/12,""))</x:f>
        <x:v>8.416666666666666</x:v>
      </x:c>
      <x:c r="Q364" s="60" t="str">
        <x:v>14 WAKERLEY CLOSE, LONDON, E6 5PS</x:v>
      </x:c>
      <x:c r="R364" s="61"/>
      <x:c r="S364" s="64" t="str">
        <x:f>IF(OR(R364="",X364=""),"",IFERROR(DATEDIF(R364,X364,"m")/12,""))</x:f>
      </x:c>
      <x:c r="T364" s="60"/>
      <x:c r="U364" s="60"/>
      <x:c r="V364" s="60"/>
      <x:c r="W364" s="63"/>
      <x:c r="X364" s="65" t="n">
        <x:f>TODAY()</x:f>
        <x:v>46250</x:v>
      </x:c>
    </x:row>
    <x:row r="365">
      <x:c r="A365" s="59" t="str">
        <x:v>KEANE</x:v>
      </x:c>
      <x:c r="B365" s="60" t="str">
        <x:v>DARREN</x:v>
      </x:c>
      <x:c r="C365" s="60"/>
      <x:c r="D365" s="61" t="n">
        <x:v>24267.5</x:v>
      </x:c>
      <x:c r="E365" s="62" t="n">
        <x:f>IF(OR(D365="",X365=""),"",IFERROR(DATEDIF(D365,X365,"y"),""))</x:f>
        <x:v>60</x:v>
      </x:c>
      <x:c r="F365" s="60" t="str">
        <x:v>KEANE</x:v>
      </x:c>
      <x:c r="G365" s="63"/>
      <x:c r="H365" s="63"/>
      <x:c r="I365" s="61" t="n">
        <x:v>38565.5</x:v>
      </x:c>
      <x:c r="J365" s="64" t="n">
        <x:f>IF(OR(I365="",X365=""),"",IFERROR(DATEDIF(I365,X365,"m")/12,""))</x:f>
        <x:v>21</x:v>
      </x:c>
      <x:c r="K365" s="60" t="str">
        <x:v>188-190 EARLS COURT ROAD, LONDON, SW5 9QG</x:v>
      </x:c>
      <x:c r="L365" s="60" t="str">
        <x:v> SW5 9QG</x:v>
      </x:c>
      <x:c r="M365" s="60"/>
      <x:c r="N365" s="60" t="str">
        <x:v>SW5 9QG</x:v>
      </x:c>
      <x:c r="O365" s="61"/>
      <x:c r="P365" s="64" t="str">
        <x:f>IF(OR(O365="",I365=""),"",IFERROR(DATEDIF(O365,I365,"m")/12,""))</x:f>
      </x:c>
      <x:c r="Q365" s="60"/>
      <x:c r="R365" s="61" t="n">
        <x:v>38626.5</x:v>
      </x:c>
      <x:c r="S365" s="64" t="n">
        <x:f>IF(OR(R365="",X365=""),"",IFERROR(DATEDIF(R365,X365,"m")/12,""))</x:f>
        <x:v>20.833333333333332</x:v>
      </x:c>
      <x:c r="T365" s="60" t="str">
        <x:v>DIRECTOR</x:v>
      </x:c>
      <x:c r="U365" s="60" t="str">
        <x:v>DJKCONSULTING LTD</x:v>
      </x:c>
      <x:c r="V365" s="60" t="str">
        <x:v>188-190 EARLS COURT ROAD, LONDON, SW5 9QG</x:v>
      </x:c>
      <x:c r="W365" s="63"/>
      <x:c r="X365" s="65" t="n">
        <x:f>TODAY()</x:f>
        <x:v>46250</x:v>
      </x:c>
    </x:row>
    <x:row r="366">
      <x:c r="A366" s="59" t="str">
        <x:v>KEDDIE</x:v>
      </x:c>
      <x:c r="B366" s="60" t="str">
        <x:v>PAUL</x:v>
      </x:c>
      <x:c r="C366" s="60" t="str">
        <x:v>STUART</x:v>
      </x:c>
      <x:c r="D366" s="61" t="n">
        <x:v>30617.5</x:v>
      </x:c>
      <x:c r="E366" s="62" t="n">
        <x:f>IF(OR(D366="",X366=""),"",IFERROR(DATEDIF(D366,X366,"y"),""))</x:f>
        <x:v>42</x:v>
      </x:c>
      <x:c r="F366" s="60" t="str">
        <x:v>BERRY</x:v>
      </x:c>
      <x:c r="G366" s="63" t="str">
        <x:v>07534280244</x:v>
      </x:c>
      <x:c r="H366" s="63"/>
      <x:c r="I366" s="61" t="n">
        <x:v>42948.5</x:v>
      </x:c>
      <x:c r="J366" s="64" t="n">
        <x:f>IF(OR(I366="",X366=""),"",IFERROR(DATEDIF(I366,X366,"m")/12,""))</x:f>
        <x:v>9</x:v>
      </x:c>
      <x:c r="K366" s="60" t="str">
        <x:v>47 CLANRICARDE GARDENS, LONDON, W2 4JN</x:v>
      </x:c>
      <x:c r="L366" s="60" t="str">
        <x:v> W2 4JN</x:v>
      </x:c>
      <x:c r="M366" s="60"/>
      <x:c r="N366" s="60" t="str">
        <x:v>W2 4JN</x:v>
      </x:c>
      <x:c r="O366" s="61"/>
      <x:c r="P366" s="64" t="str">
        <x:f>IF(OR(O366="",I366=""),"",IFERROR(DATEDIF(O366,I366,"m")/12,""))</x:f>
      </x:c>
      <x:c r="Q366" s="60"/>
      <x:c r="R366" s="61" t="n">
        <x:v>40787.5</x:v>
      </x:c>
      <x:c r="S366" s="64" t="n">
        <x:f>IF(OR(R366="",X366=""),"",IFERROR(DATEDIF(R366,X366,"m")/12,""))</x:f>
        <x:v>14.916666666666666</x:v>
      </x:c>
      <x:c r="T366" s="60" t="str">
        <x:v>PARTNER</x:v>
      </x:c>
      <x:c r="U366" s="60" t="str">
        <x:v>MACFARLANES</x:v>
      </x:c>
      <x:c r="V366" s="60" t="str">
        <x:v>20 CURSITOR STREET, LONDON, EC4A 1LT</x:v>
      </x:c>
      <x:c r="W366" s="63" t="str">
        <x:v>020 7831 9222</x:v>
      </x:c>
      <x:c r="X366" s="65" t="n">
        <x:f>TODAY()</x:f>
        <x:v>46250</x:v>
      </x:c>
    </x:row>
    <x:row r="367">
      <x:c r="A367" s="59" t="str">
        <x:v>KELLY</x:v>
      </x:c>
      <x:c r="B367" s="60" t="str">
        <x:v>LUCINDA</x:v>
      </x:c>
      <x:c r="C367" s="60" t="str">
        <x:v>JAYNE</x:v>
      </x:c>
      <x:c r="D367" s="61" t="n">
        <x:v>29278.5</x:v>
      </x:c>
      <x:c r="E367" s="62" t="n">
        <x:f>IF(OR(D367="",X367=""),"",IFERROR(DATEDIF(D367,X367,"y"),""))</x:f>
        <x:v>46</x:v>
      </x:c>
      <x:c r="F367" s="60" t="str">
        <x:v>JONES</x:v>
      </x:c>
      <x:c r="G367" s="63"/>
      <x:c r="H367" s="63"/>
      <x:c r="I367" s="61"/>
      <x:c r="J367" s="64" t="str">
        <x:f>IF(OR(I367="",X367=""),"",IFERROR(DATEDIF(I367,X367,"m")/12,""))</x:f>
      </x:c>
      <x:c r="K367" s="60"/>
      <x:c r="L367" s="60"/>
      <x:c r="M367" s="60"/>
      <x:c r="N367" s="60"/>
      <x:c r="O367" s="61"/>
      <x:c r="P367" s="64" t="str">
        <x:f>IF(OR(O367="",I367=""),"",IFERROR(DATEDIF(O367,I367,"m")/12,""))</x:f>
      </x:c>
      <x:c r="Q367" s="60"/>
      <x:c r="R367" s="61"/>
      <x:c r="S367" s="64" t="str">
        <x:f>IF(OR(R367="",X367=""),"",IFERROR(DATEDIF(R367,X367,"m")/12,""))</x:f>
      </x:c>
      <x:c r="T367" s="60"/>
      <x:c r="U367" s="60"/>
      <x:c r="V367" s="60"/>
      <x:c r="W367" s="63"/>
      <x:c r="X367" s="65" t="n">
        <x:f>TODAY()</x:f>
        <x:v>46250</x:v>
      </x:c>
    </x:row>
    <x:row r="368">
      <x:c r="A368" s="59" t="str">
        <x:v>KEMMER</x:v>
      </x:c>
      <x:c r="B368" s="60" t="str">
        <x:v>STEFAN</x:v>
      </x:c>
      <x:c r="C368" s="60"/>
      <x:c r="D368" s="61" t="n">
        <x:v>29670.5</x:v>
      </x:c>
      <x:c r="E368" s="62" t="n">
        <x:f>IF(OR(D368="",X368=""),"",IFERROR(DATEDIF(D368,X368,"y"),""))</x:f>
        <x:v>45</x:v>
      </x:c>
      <x:c r="F368" s="60" t="str">
        <x:v>KEMMER</x:v>
      </x:c>
      <x:c r="G368" s="63"/>
      <x:c r="H368" s="63"/>
      <x:c r="I368" s="61"/>
      <x:c r="J368" s="64" t="str">
        <x:f>IF(OR(I368="",X368=""),"",IFERROR(DATEDIF(I368,X368,"m")/12,""))</x:f>
      </x:c>
      <x:c r="K368" s="60" t="str">
        <x:v>FLAT 4, 33-37 ST JOHNS HILL, LONDON, SW11 1TT</x:v>
      </x:c>
      <x:c r="L368" s="60" t="str">
        <x:v> SW11 1TT</x:v>
      </x:c>
      <x:c r="M368" s="60"/>
      <x:c r="N368" s="60" t="str">
        <x:v>SW11 1TT</x:v>
      </x:c>
      <x:c r="O368" s="61"/>
      <x:c r="P368" s="64" t="str">
        <x:f>IF(OR(O368="",I368=""),"",IFERROR(DATEDIF(O368,I368,"m")/12,""))</x:f>
      </x:c>
      <x:c r="Q368" s="60"/>
      <x:c r="R368" s="61"/>
      <x:c r="S368" s="64" t="str">
        <x:f>IF(OR(R368="",X368=""),"",IFERROR(DATEDIF(R368,X368,"m")/12,""))</x:f>
      </x:c>
      <x:c r="T368" s="60"/>
      <x:c r="U368" s="60"/>
      <x:c r="V368" s="60"/>
      <x:c r="W368" s="63"/>
      <x:c r="X368" s="65" t="n">
        <x:f>TODAY()</x:f>
        <x:v>46250</x:v>
      </x:c>
    </x:row>
    <x:row r="369">
      <x:c r="A369" s="59" t="str">
        <x:v>KENDALL</x:v>
      </x:c>
      <x:c r="B369" s="60" t="str">
        <x:v>ASHLEY</x:v>
      </x:c>
      <x:c r="C369" s="60"/>
      <x:c r="D369" s="61" t="n">
        <x:v>34428.5</x:v>
      </x:c>
      <x:c r="E369" s="62" t="n">
        <x:f>IF(OR(D369="",X369=""),"",IFERROR(DATEDIF(D369,X369,"y"),""))</x:f>
        <x:v>32</x:v>
      </x:c>
      <x:c r="F369" s="60"/>
      <x:c r="G369" s="63"/>
      <x:c r="H369" s="63"/>
      <x:c r="I369" s="61"/>
      <x:c r="J369" s="64" t="str">
        <x:f>IF(OR(I369="",X369=""),"",IFERROR(DATEDIF(I369,X369,"m")/12,""))</x:f>
      </x:c>
      <x:c r="K369" s="60" t="str">
        <x:v>1 DUGARD WAY, LONDON, SE11 4TH</x:v>
      </x:c>
      <x:c r="L369" s="60" t="str">
        <x:v> SE11 4TH</x:v>
      </x:c>
      <x:c r="M369" s="60"/>
      <x:c r="N369" s="60" t="str">
        <x:v>SE11 4TH</x:v>
      </x:c>
      <x:c r="O369" s="61"/>
      <x:c r="P369" s="64" t="str">
        <x:f>IF(OR(O369="",I369=""),"",IFERROR(DATEDIF(O369,I369,"m")/12,""))</x:f>
      </x:c>
      <x:c r="Q369" s="60"/>
      <x:c r="R369" s="61"/>
      <x:c r="S369" s="64" t="str">
        <x:f>IF(OR(R369="",X369=""),"",IFERROR(DATEDIF(R369,X369,"m")/12,""))</x:f>
      </x:c>
      <x:c r="T369" s="60"/>
      <x:c r="U369" s="60"/>
      <x:c r="V369" s="60"/>
      <x:c r="W369" s="63"/>
      <x:c r="X369" s="65" t="n">
        <x:f>TODAY()</x:f>
        <x:v>46250</x:v>
      </x:c>
    </x:row>
    <x:row r="370">
      <x:c r="A370" s="59" t="str">
        <x:v>KERIMOVS</x:v>
      </x:c>
      <x:c r="B370" s="60" t="str">
        <x:v>EMILS</x:v>
      </x:c>
      <x:c r="C370" s="60"/>
      <x:c r="D370" s="61"/>
      <x:c r="E370" s="62" t="str">
        <x:f>IF(OR(D370="",X370=""),"",IFERROR(DATEDIF(D370,X370,"y"),""))</x:f>
      </x:c>
      <x:c r="F370" s="60"/>
      <x:c r="G370" s="63"/>
      <x:c r="H370" s="63"/>
      <x:c r="I370" s="61"/>
      <x:c r="J370" s="64" t="str">
        <x:f>IF(OR(I370="",X370=""),"",IFERROR(DATEDIF(I370,X370,"m")/12,""))</x:f>
      </x:c>
      <x:c r="K370" s="60"/>
      <x:c r="L370" s="60"/>
      <x:c r="M370" s="60"/>
      <x:c r="N370" s="60"/>
      <x:c r="O370" s="61"/>
      <x:c r="P370" s="64" t="str">
        <x:f>IF(OR(O370="",I370=""),"",IFERROR(DATEDIF(O370,I370,"m")/12,""))</x:f>
      </x:c>
      <x:c r="Q370" s="60"/>
      <x:c r="R370" s="61"/>
      <x:c r="S370" s="64" t="str">
        <x:f>IF(OR(R370="",X370=""),"",IFERROR(DATEDIF(R370,X370,"m")/12,""))</x:f>
      </x:c>
      <x:c r="T370" s="60"/>
      <x:c r="U370" s="60"/>
      <x:c r="V370" s="60"/>
      <x:c r="W370" s="63"/>
      <x:c r="X370" s="65" t="n">
        <x:f>TODAY()</x:f>
        <x:v>46250</x:v>
      </x:c>
    </x:row>
    <x:row r="371">
      <x:c r="A371" s="59" t="str">
        <x:v>KEUNDJIAN</x:v>
      </x:c>
      <x:c r="B371" s="60" t="str">
        <x:v>JEAN-PHILIPPE</x:v>
      </x:c>
      <x:c r="C371" s="60"/>
      <x:c r="D371" s="61" t="n">
        <x:v>28743.5</x:v>
      </x:c>
      <x:c r="E371" s="62" t="n">
        <x:f>IF(OR(D371="",X371=""),"",IFERROR(DATEDIF(D371,X371,"y"),""))</x:f>
        <x:v>47</x:v>
      </x:c>
      <x:c r="F371" s="60"/>
      <x:c r="G371" s="63"/>
      <x:c r="H371" s="63"/>
      <x:c r="I371" s="61" t="n">
        <x:v>39995.5</x:v>
      </x:c>
      <x:c r="J371" s="64" t="n">
        <x:f>IF(OR(I371="",X371=""),"",IFERROR(DATEDIF(I371,X371,"m")/12,""))</x:f>
        <x:v>17.083333333333332</x:v>
      </x:c>
      <x:c r="K371" s="60" t="str">
        <x:v>FLAT 5, 20 CLEVELAND SQUARE, LONDON, W2 6DG</x:v>
      </x:c>
      <x:c r="L371" s="60" t="str">
        <x:v> W2 6DG</x:v>
      </x:c>
      <x:c r="M371" s="60"/>
      <x:c r="N371" s="60" t="str">
        <x:v>W2 6DG</x:v>
      </x:c>
      <x:c r="O371" s="61"/>
      <x:c r="P371" s="64" t="str">
        <x:f>IF(OR(O371="",I371=""),"",IFERROR(DATEDIF(O371,I371,"m")/12,""))</x:f>
      </x:c>
      <x:c r="Q371" s="60"/>
      <x:c r="R371" s="61"/>
      <x:c r="S371" s="64" t="str">
        <x:f>IF(OR(R371="",X371=""),"",IFERROR(DATEDIF(R371,X371,"m")/12,""))</x:f>
      </x:c>
      <x:c r="T371" s="60"/>
      <x:c r="U371" s="60"/>
      <x:c r="V371" s="60"/>
      <x:c r="W371" s="63"/>
      <x:c r="X371" s="65" t="n">
        <x:f>TODAY()</x:f>
        <x:v>46250</x:v>
      </x:c>
    </x:row>
    <x:row r="372">
      <x:c r="A372" s="59" t="str">
        <x:v>KHADOURI</x:v>
      </x:c>
      <x:c r="B372" s="60" t="str">
        <x:v>OMAR</x:v>
      </x:c>
      <x:c r="C372" s="60"/>
      <x:c r="D372" s="61" t="n">
        <x:v>31004.5</x:v>
      </x:c>
      <x:c r="E372" s="62" t="n">
        <x:f>IF(OR(D372="",X372=""),"",IFERROR(DATEDIF(D372,X372,"y"),""))</x:f>
        <x:v>41</x:v>
      </x:c>
      <x:c r="F372" s="60"/>
      <x:c r="G372" s="63"/>
      <x:c r="H372" s="63"/>
      <x:c r="I372" s="61" t="n">
        <x:v>42491.5</x:v>
      </x:c>
      <x:c r="J372" s="64" t="n">
        <x:f>IF(OR(I372="",X372=""),"",IFERROR(DATEDIF(I372,X372,"m")/12,""))</x:f>
        <x:v>10.25</x:v>
      </x:c>
      <x:c r="K372" s="60" t="str">
        <x:v>FLAT 6, 1B REDCLIFFE ROAD, LONDON, SW10 9NR</x:v>
      </x:c>
      <x:c r="L372" s="60" t="str">
        <x:v> SW10 9NR</x:v>
      </x:c>
      <x:c r="M372" s="60"/>
      <x:c r="N372" s="60" t="str">
        <x:v>SW10 9NR</x:v>
      </x:c>
      <x:c r="O372" s="61" t="n">
        <x:v>41456.5</x:v>
      </x:c>
      <x:c r="P372" s="64" t="n">
        <x:f>IF(OR(O372="",I372=""),"",IFERROR(DATEDIF(O372,I372,"m")/12,""))</x:f>
        <x:v>2.8333333333333335</x:v>
      </x:c>
      <x:c r="Q372" s="60" t="str">
        <x:v>FLAT 10, 45/47, COURTFIELD ROAD, LONDON, LONDON, SW7 4DB</x:v>
      </x:c>
      <x:c r="R372" s="61"/>
      <x:c r="S372" s="64" t="str">
        <x:f>IF(OR(R372="",X372=""),"",IFERROR(DATEDIF(R372,X372,"m")/12,""))</x:f>
      </x:c>
      <x:c r="T372" s="60"/>
      <x:c r="U372" s="60"/>
      <x:c r="V372" s="60"/>
      <x:c r="W372" s="63"/>
      <x:c r="X372" s="65" t="n">
        <x:f>TODAY()</x:f>
        <x:v>46250</x:v>
      </x:c>
    </x:row>
    <x:row r="373">
      <x:c r="A373" s="59" t="str">
        <x:v>KHALIFA</x:v>
      </x:c>
      <x:c r="B373" s="60" t="str">
        <x:v>SARAH</x:v>
      </x:c>
      <x:c r="C373" s="60"/>
      <x:c r="D373" s="61" t="n">
        <x:v>31005.5</x:v>
      </x:c>
      <x:c r="E373" s="62" t="n">
        <x:f>IF(OR(D373="",X373=""),"",IFERROR(DATEDIF(D373,X373,"y"),""))</x:f>
        <x:v>41</x:v>
      </x:c>
      <x:c r="F373" s="60"/>
      <x:c r="G373" s="63"/>
      <x:c r="H373" s="63"/>
      <x:c r="I373" s="61" t="n">
        <x:v>44743.5</x:v>
      </x:c>
      <x:c r="J373" s="64" t="n">
        <x:f>IF(OR(I373="",X373=""),"",IFERROR(DATEDIF(I373,X373,"m")/12,""))</x:f>
        <x:v>4.083333333333333</x:v>
      </x:c>
      <x:c r="K373" s="60" t="str">
        <x:v>FLAT 3 196 CROMWELL ROAD, LONDON, SW5 0SN</x:v>
      </x:c>
      <x:c r="L373" s="60" t="str">
        <x:v> SW5 0SN</x:v>
      </x:c>
      <x:c r="M373" s="60"/>
      <x:c r="N373" s="60" t="str">
        <x:v>SW5 0SN</x:v>
      </x:c>
      <x:c r="O373" s="61" t="n">
        <x:v>41883.5</x:v>
      </x:c>
      <x:c r="P373" s="64" t="n">
        <x:f>IF(OR(O373="",I373=""),"",IFERROR(DATEDIF(O373,I373,"m")/12,""))</x:f>
        <x:v>7.833333333333333</x:v>
      </x:c>
      <x:c r="Q373" s="60" t="str">
        <x:v>FLAT 16 MATHISON HOUSE, COLERIDGE GARDENS, LONDON, ENGLAND, SW10 0RR</x:v>
      </x:c>
      <x:c r="R373" s="61"/>
      <x:c r="S373" s="64" t="str">
        <x:f>IF(OR(R373="",X373=""),"",IFERROR(DATEDIF(R373,X373,"m")/12,""))</x:f>
      </x:c>
      <x:c r="T373" s="60"/>
      <x:c r="U373" s="60"/>
      <x:c r="V373" s="60"/>
      <x:c r="W373" s="63"/>
      <x:c r="X373" s="65" t="n">
        <x:f>TODAY()</x:f>
        <x:v>46250</x:v>
      </x:c>
    </x:row>
    <x:row r="374">
      <x:c r="A374" s="59" t="str">
        <x:v>KHALIKOV</x:v>
      </x:c>
      <x:c r="B374" s="60" t="str">
        <x:v>TIMUR</x:v>
      </x:c>
      <x:c r="C374" s="60"/>
      <x:c r="D374" s="61" t="n">
        <x:v>35813.5</x:v>
      </x:c>
      <x:c r="E374" s="62" t="n">
        <x:f>IF(OR(D374="",X374=""),"",IFERROR(DATEDIF(D374,X374,"y"),""))</x:f>
        <x:v>28</x:v>
      </x:c>
      <x:c r="F374" s="60"/>
      <x:c r="G374" s="63"/>
      <x:c r="H374" s="63"/>
      <x:c r="I374" s="61" t="n">
        <x:v>44621.5</x:v>
      </x:c>
      <x:c r="J374" s="64" t="n">
        <x:f>IF(OR(I374="",X374=""),"",IFERROR(DATEDIF(I374,X374,"m")/12,""))</x:f>
        <x:v>4.416666666666667</x:v>
      </x:c>
      <x:c r="K374" s="60" t="str">
        <x:v>FLAT 3, 23 CLANRICARDE GARDENS, LONDON, W2 4JL</x:v>
      </x:c>
      <x:c r="L374" s="60" t="str">
        <x:v> W2 4JL</x:v>
      </x:c>
      <x:c r="M374" s="60"/>
      <x:c r="N374" s="60" t="str">
        <x:v>W2 4JL</x:v>
      </x:c>
      <x:c r="O374" s="61" t="n">
        <x:v>43862.5</x:v>
      </x:c>
      <x:c r="P374" s="64" t="n">
        <x:f>IF(OR(O374="",I374=""),"",IFERROR(DATEDIF(O374,I374,"m")/12,""))</x:f>
        <x:v>2.0833333333333335</x:v>
      </x:c>
      <x:c r="Q374" s="60" t="str">
        <x:v>43, PHILBEACH GARDENS, LONDON, LONDON, SW5 9DY</x:v>
      </x:c>
      <x:c r="R374" s="61"/>
      <x:c r="S374" s="64" t="str">
        <x:f>IF(OR(R374="",X374=""),"",IFERROR(DATEDIF(R374,X374,"m")/12,""))</x:f>
      </x:c>
      <x:c r="T374" s="60"/>
      <x:c r="U374" s="60"/>
      <x:c r="V374" s="60"/>
      <x:c r="W374" s="63"/>
      <x:c r="X374" s="65" t="n">
        <x:f>TODAY()</x:f>
        <x:v>46250</x:v>
      </x:c>
    </x:row>
    <x:row r="375">
      <x:c r="A375" s="59" t="str">
        <x:v>KHAN</x:v>
      </x:c>
      <x:c r="B375" s="60" t="str">
        <x:v>SOFIA</x:v>
      </x:c>
      <x:c r="C375" s="60"/>
      <x:c r="D375" s="61" t="n">
        <x:v>33570.5</x:v>
      </x:c>
      <x:c r="E375" s="62" t="n">
        <x:f>IF(OR(D375="",X375=""),"",IFERROR(DATEDIF(D375,X375,"y"),""))</x:f>
        <x:v>34</x:v>
      </x:c>
      <x:c r="F375" s="60" t="str">
        <x:v>BIBI</x:v>
      </x:c>
      <x:c r="G375" s="63"/>
      <x:c r="H375" s="63"/>
      <x:c r="I375" s="61"/>
      <x:c r="J375" s="64" t="str">
        <x:f>IF(OR(I375="",X375=""),"",IFERROR(DATEDIF(I375,X375,"m")/12,""))</x:f>
      </x:c>
      <x:c r="K375" s="60" t="str">
        <x:v>FLAT 9, 13 NEVERN SQUARE, LONDON, SW5 9NW</x:v>
      </x:c>
      <x:c r="L375" s="60" t="str">
        <x:v> SW5 9NW</x:v>
      </x:c>
      <x:c r="M375" s="60"/>
      <x:c r="N375" s="60" t="str">
        <x:v>SW5 9NW</x:v>
      </x:c>
      <x:c r="O375" s="61"/>
      <x:c r="P375" s="64" t="str">
        <x:f>IF(OR(O375="",I375=""),"",IFERROR(DATEDIF(O375,I375,"m")/12,""))</x:f>
      </x:c>
      <x:c r="Q375" s="60"/>
      <x:c r="R375" s="61"/>
      <x:c r="S375" s="64" t="str">
        <x:f>IF(OR(R375="",X375=""),"",IFERROR(DATEDIF(R375,X375,"m")/12,""))</x:f>
      </x:c>
      <x:c r="T375" s="60"/>
      <x:c r="U375" s="60"/>
      <x:c r="V375" s="60"/>
      <x:c r="W375" s="63"/>
      <x:c r="X375" s="65" t="n">
        <x:f>TODAY()</x:f>
        <x:v>46250</x:v>
      </x:c>
    </x:row>
    <x:row r="376">
      <x:c r="A376" s="59" t="str">
        <x:v>KHAZEN</x:v>
      </x:c>
      <x:c r="B376" s="60" t="str">
        <x:v>ANNA</x:v>
      </x:c>
      <x:c r="C376" s="60"/>
      <x:c r="D376" s="61" t="n">
        <x:v>27319.5</x:v>
      </x:c>
      <x:c r="E376" s="62" t="n">
        <x:f>IF(OR(D376="",X376=""),"",IFERROR(DATEDIF(D376,X376,"y"),""))</x:f>
        <x:v>51</x:v>
      </x:c>
      <x:c r="F376" s="60" t="str">
        <x:v>SPILMAN</x:v>
      </x:c>
      <x:c r="G376" s="63"/>
      <x:c r="H376" s="63"/>
      <x:c r="I376" s="61" t="n">
        <x:v>41852.5</x:v>
      </x:c>
      <x:c r="J376" s="64" t="n">
        <x:f>IF(OR(I376="",X376=""),"",IFERROR(DATEDIF(I376,X376,"m")/12,""))</x:f>
        <x:v>12</x:v>
      </x:c>
      <x:c r="K376" s="60"/>
      <x:c r="L376" s="60"/>
      <x:c r="M376" s="60"/>
      <x:c r="N376" s="60"/>
      <x:c r="O376" s="61"/>
      <x:c r="P376" s="64" t="str">
        <x:f>IF(OR(O376="",I376=""),"",IFERROR(DATEDIF(O376,I376,"m")/12,""))</x:f>
      </x:c>
      <x:c r="Q376" s="60"/>
      <x:c r="R376" s="61"/>
      <x:c r="S376" s="64" t="str">
        <x:f>IF(OR(R376="",X376=""),"",IFERROR(DATEDIF(R376,X376,"m")/12,""))</x:f>
      </x:c>
      <x:c r="T376" s="60"/>
      <x:c r="U376" s="60"/>
      <x:c r="V376" s="60"/>
      <x:c r="W376" s="63"/>
      <x:c r="X376" s="65" t="n">
        <x:f>TODAY()</x:f>
        <x:v>46250</x:v>
      </x:c>
    </x:row>
    <x:row r="377">
      <x:c r="A377" s="59" t="str">
        <x:v>KHOYLOU</x:v>
      </x:c>
      <x:c r="B377" s="60" t="str">
        <x:v>SIMEEN</x:v>
      </x:c>
      <x:c r="C377" s="60"/>
      <x:c r="D377" s="61" t="n">
        <x:v>20731.5</x:v>
      </x:c>
      <x:c r="E377" s="62" t="n">
        <x:f>IF(OR(D377="",X377=""),"",IFERROR(DATEDIF(D377,X377,"y"),""))</x:f>
        <x:v>69</x:v>
      </x:c>
      <x:c r="F377" s="60"/>
      <x:c r="G377" s="63"/>
      <x:c r="H377" s="63"/>
      <x:c r="I377" s="61" t="n">
        <x:v>37469.5</x:v>
      </x:c>
      <x:c r="J377" s="64" t="n">
        <x:f>IF(OR(I377="",X377=""),"",IFERROR(DATEDIF(I377,X377,"m")/12,""))</x:f>
        <x:v>24</x:v>
      </x:c>
      <x:c r="K377" s="60" t="str">
        <x:v>FLAT 6, 163 CROMWELL ROAD, LODNON, SW5 0SQ</x:v>
      </x:c>
      <x:c r="L377" s="60"/>
      <x:c r="M377" s="60"/>
      <x:c r="N377" s="60"/>
      <x:c r="O377" s="61"/>
      <x:c r="P377" s="64" t="str">
        <x:f>IF(OR(O377="",I377=""),"",IFERROR(DATEDIF(O377,I377,"m")/12,""))</x:f>
      </x:c>
      <x:c r="Q377" s="60"/>
      <x:c r="R377" s="61"/>
      <x:c r="S377" s="64" t="str">
        <x:f>IF(OR(R377="",X377=""),"",IFERROR(DATEDIF(R377,X377,"m")/12,""))</x:f>
      </x:c>
      <x:c r="T377" s="60"/>
      <x:c r="U377" s="60"/>
      <x:c r="V377" s="60"/>
      <x:c r="W377" s="63"/>
      <x:c r="X377" s="65" t="n">
        <x:f>TODAY()</x:f>
        <x:v>46250</x:v>
      </x:c>
    </x:row>
    <x:row r="378">
      <x:c r="A378" s="59" t="str">
        <x:v>KIENLE</x:v>
      </x:c>
      <x:c r="B378" s="60" t="str">
        <x:v>TIMO</x:v>
      </x:c>
      <x:c r="C378" s="60"/>
      <x:c r="D378" s="61" t="n">
        <x:v>30570.5</x:v>
      </x:c>
      <x:c r="E378" s="62" t="n">
        <x:f>IF(OR(D378="",X378=""),"",IFERROR(DATEDIF(D378,X378,"y"),""))</x:f>
        <x:v>42</x:v>
      </x:c>
      <x:c r="F378" s="60"/>
      <x:c r="G378" s="63"/>
      <x:c r="H378" s="63"/>
      <x:c r="I378" s="61"/>
      <x:c r="J378" s="64" t="str">
        <x:f>IF(OR(I378="",X378=""),"",IFERROR(DATEDIF(I378,X378,"m")/12,""))</x:f>
      </x:c>
      <x:c r="K378" s="60" t="str">
        <x:v>FLAT 4, 29 CORNWALL GARDENS, SW7 4AP</x:v>
      </x:c>
      <x:c r="L378" s="60"/>
      <x:c r="M378" s="60"/>
      <x:c r="N378" s="60"/>
      <x:c r="O378" s="61"/>
      <x:c r="P378" s="64" t="str">
        <x:f>IF(OR(O378="",I378=""),"",IFERROR(DATEDIF(O378,I378,"m")/12,""))</x:f>
      </x:c>
      <x:c r="Q378" s="60" t="str">
        <x:v>BUTLERS WHARF LSE RES,11 GAINSFORD STREET, LONDON, SE1 2NE</x:v>
      </x:c>
      <x:c r="R378" s="61" t="n">
        <x:v>44105.5</x:v>
      </x:c>
      <x:c r="S378" s="64" t="n">
        <x:f>IF(OR(R378="",X378=""),"",IFERROR(DATEDIF(R378,X378,"m")/12,""))</x:f>
        <x:v>5.833333333333333</x:v>
      </x:c>
      <x:c r="T378" s="60" t="str">
        <x:v>MANAGING DIRECTOR</x:v>
      </x:c>
      <x:c r="U378" s="60" t="str">
        <x:v>SILVERCOURT CAPITAL PARTNERS</x:v>
      </x:c>
      <x:c r="V378" s="60"/>
      <x:c r="W378" s="63"/>
      <x:c r="X378" s="65" t="n">
        <x:f>TODAY()</x:f>
        <x:v>46250</x:v>
      </x:c>
    </x:row>
    <x:row r="379">
      <x:c r="A379" s="59" t="str">
        <x:v>KIESEWETTER</x:v>
      </x:c>
      <x:c r="B379" s="60" t="str">
        <x:v>ANDREJA</x:v>
      </x:c>
      <x:c r="C379" s="60"/>
      <x:c r="D379" s="61" t="n">
        <x:v>30105.5</x:v>
      </x:c>
      <x:c r="E379" s="62" t="n">
        <x:f>IF(OR(D379="",X379=""),"",IFERROR(DATEDIF(D379,X379,"y"),""))</x:f>
        <x:v>44</x:v>
      </x:c>
      <x:c r="F379" s="60"/>
      <x:c r="G379" s="63"/>
      <x:c r="H379" s="63"/>
      <x:c r="I379" s="61"/>
      <x:c r="J379" s="64" t="str">
        <x:f>IF(OR(I379="",X379=""),"",IFERROR(DATEDIF(I379,X379,"m")/12,""))</x:f>
      </x:c>
      <x:c r="K379" s="60" t="str">
        <x:v>FLAT 1 ST. JOHNS HOUSE 366 NORTH END ROAD, LONDON, SW6 1LY</x:v>
      </x:c>
      <x:c r="L379" s="60" t="str">
        <x:v> SW6 1LY</x:v>
      </x:c>
      <x:c r="M379" s="60"/>
      <x:c r="N379" s="60" t="str">
        <x:v>SW6 1LY</x:v>
      </x:c>
      <x:c r="O379" s="61"/>
      <x:c r="P379" s="64" t="str">
        <x:f>IF(OR(O379="",I379=""),"",IFERROR(DATEDIF(O379,I379,"m")/12,""))</x:f>
      </x:c>
      <x:c r="Q379" s="60"/>
      <x:c r="R379" s="61"/>
      <x:c r="S379" s="64" t="str">
        <x:f>IF(OR(R379="",X379=""),"",IFERROR(DATEDIF(R379,X379,"m")/12,""))</x:f>
      </x:c>
      <x:c r="T379" s="60"/>
      <x:c r="U379" s="60"/>
      <x:c r="V379" s="60"/>
      <x:c r="W379" s="63"/>
      <x:c r="X379" s="65" t="n">
        <x:f>TODAY()</x:f>
        <x:v>46250</x:v>
      </x:c>
    </x:row>
    <x:row r="380">
      <x:c r="A380" s="59" t="str">
        <x:v>KIRKHAM</x:v>
      </x:c>
      <x:c r="B380" s="60" t="str">
        <x:v>DAVID</x:v>
      </x:c>
      <x:c r="C380" s="60" t="str">
        <x:v>ROBERT</x:v>
      </x:c>
      <x:c r="D380" s="61" t="n">
        <x:v>33293.5</x:v>
      </x:c>
      <x:c r="E380" s="62" t="n">
        <x:f>IF(OR(D380="",X380=""),"",IFERROR(DATEDIF(D380,X380,"y"),""))</x:f>
        <x:v>35</x:v>
      </x:c>
      <x:c r="F380" s="60" t="str">
        <x:v>GILMARTIN</x:v>
      </x:c>
      <x:c r="G380" s="63"/>
      <x:c r="H380" s="63"/>
      <x:c r="I380" s="61" t="n">
        <x:v>43313.5</x:v>
      </x:c>
      <x:c r="J380" s="64" t="n">
        <x:f>IF(OR(I380="",X380=""),"",IFERROR(DATEDIF(I380,X380,"m")/12,""))</x:f>
        <x:v>8</x:v>
      </x:c>
      <x:c r="K380" s="60" t="str">
        <x:v>62 STONHOUSE STREET, LONDON, SW4 6BE</x:v>
      </x:c>
      <x:c r="L380" s="60" t="str">
        <x:v> SW4 6BE</x:v>
      </x:c>
      <x:c r="M380" s="60"/>
      <x:c r="N380" s="60" t="str">
        <x:v>SW4 6BE</x:v>
      </x:c>
      <x:c r="O380" s="61"/>
      <x:c r="P380" s="64" t="str">
        <x:f>IF(OR(O380="",I380=""),"",IFERROR(DATEDIF(O380,I380,"m")/12,""))</x:f>
      </x:c>
      <x:c r="Q380" s="60"/>
      <x:c r="R380" s="61"/>
      <x:c r="S380" s="64" t="str">
        <x:f>IF(OR(R380="",X380=""),"",IFERROR(DATEDIF(R380,X380,"m")/12,""))</x:f>
      </x:c>
      <x:c r="T380" s="60"/>
      <x:c r="U380" s="60"/>
      <x:c r="V380" s="60"/>
      <x:c r="W380" s="63"/>
      <x:c r="X380" s="65" t="n">
        <x:f>TODAY()</x:f>
        <x:v>46250</x:v>
      </x:c>
    </x:row>
    <x:row r="381">
      <x:c r="A381" s="59" t="str">
        <x:v>KJARTANSSON</x:v>
      </x:c>
      <x:c r="B381" s="60" t="str">
        <x:v>OLAFUR</x:v>
      </x:c>
      <x:c r="C381" s="60"/>
      <x:c r="D381" s="61" t="n">
        <x:v>35757.5</x:v>
      </x:c>
      <x:c r="E381" s="62" t="n">
        <x:f>IF(OR(D381="",X381=""),"",IFERROR(DATEDIF(D381,X381,"y"),""))</x:f>
        <x:v>28</x:v>
      </x:c>
      <x:c r="F381" s="60"/>
      <x:c r="G381" s="63"/>
      <x:c r="H381" s="63"/>
      <x:c r="I381" s="61"/>
      <x:c r="J381" s="64" t="str">
        <x:f>IF(OR(I381="",X381=""),"",IFERROR(DATEDIF(I381,X381,"m")/12,""))</x:f>
      </x:c>
      <x:c r="K381" s="60"/>
      <x:c r="L381" s="60"/>
      <x:c r="M381" s="60"/>
      <x:c r="N381" s="60"/>
      <x:c r="O381" s="61"/>
      <x:c r="P381" s="64" t="str">
        <x:f>IF(OR(O381="",I381=""),"",IFERROR(DATEDIF(O381,I381,"m")/12,""))</x:f>
      </x:c>
      <x:c r="Q381" s="60"/>
      <x:c r="R381" s="61"/>
      <x:c r="S381" s="64" t="str">
        <x:f>IF(OR(R381="",X381=""),"",IFERROR(DATEDIF(R381,X381,"m")/12,""))</x:f>
      </x:c>
      <x:c r="T381" s="60"/>
      <x:c r="U381" s="60"/>
      <x:c r="V381" s="60"/>
      <x:c r="W381" s="63"/>
      <x:c r="X381" s="65" t="n">
        <x:f>TODAY()</x:f>
        <x:v>46250</x:v>
      </x:c>
    </x:row>
    <x:row r="382">
      <x:c r="A382" s="59" t="str">
        <x:v>KLEIN</x:v>
      </x:c>
      <x:c r="B382" s="60" t="str">
        <x:v>CHRITSTIAN</x:v>
      </x:c>
      <x:c r="C382" s="60" t="str">
        <x:v>JOHN PHILIPP</x:v>
      </x:c>
      <x:c r="D382" s="61" t="n">
        <x:v>30061.5</x:v>
      </x:c>
      <x:c r="E382" s="62" t="n">
        <x:f>IF(OR(D382="",X382=""),"",IFERROR(DATEDIF(D382,X382,"y"),""))</x:f>
        <x:v>44</x:v>
      </x:c>
      <x:c r="F382" s="60"/>
      <x:c r="G382" s="63"/>
      <x:c r="H382" s="63"/>
      <x:c r="I382" s="61"/>
      <x:c r="J382" s="64" t="str">
        <x:f>IF(OR(I382="",X382=""),"",IFERROR(DATEDIF(I382,X382,"m")/12,""))</x:f>
      </x:c>
      <x:c r="K382" s="60"/>
      <x:c r="L382" s="60"/>
      <x:c r="M382" s="60"/>
      <x:c r="N382" s="60"/>
      <x:c r="O382" s="61"/>
      <x:c r="P382" s="64" t="str">
        <x:f>IF(OR(O382="",I382=""),"",IFERROR(DATEDIF(O382,I382,"m")/12,""))</x:f>
      </x:c>
      <x:c r="Q382" s="60"/>
      <x:c r="R382" s="61"/>
      <x:c r="S382" s="64" t="str">
        <x:f>IF(OR(R382="",X382=""),"",IFERROR(DATEDIF(R382,X382,"m")/12,""))</x:f>
      </x:c>
      <x:c r="T382" s="60"/>
      <x:c r="U382" s="60"/>
      <x:c r="V382" s="60"/>
      <x:c r="W382" s="63"/>
      <x:c r="X382" s="65" t="n">
        <x:f>TODAY()</x:f>
        <x:v>46250</x:v>
      </x:c>
    </x:row>
    <x:row r="383">
      <x:c r="A383" s="59" t="str">
        <x:v>KNOPF</x:v>
      </x:c>
      <x:c r="B383" s="60" t="str">
        <x:v>JOAO</x:v>
      </x:c>
      <x:c r="C383" s="60" t="str">
        <x:v>RICARDO</x:v>
      </x:c>
      <x:c r="D383" s="61" t="n">
        <x:v>29533.5</x:v>
      </x:c>
      <x:c r="E383" s="62" t="n">
        <x:f>IF(OR(D383="",X383=""),"",IFERROR(DATEDIF(D383,X383,"y"),""))</x:f>
        <x:v>45</x:v>
      </x:c>
      <x:c r="F383" s="60" t="str">
        <x:v>SKILHAN</x:v>
      </x:c>
      <x:c r="G383" s="63"/>
      <x:c r="H383" s="63"/>
      <x:c r="I383" s="61"/>
      <x:c r="J383" s="64" t="str">
        <x:f>IF(OR(I383="",X383=""),"",IFERROR(DATEDIF(I383,X383,"m")/12,""))</x:f>
      </x:c>
      <x:c r="K383" s="60" t="str">
        <x:v>FLAT 2, 19 CLEVELAND TERRACE, LONDON, W2 6QH</x:v>
      </x:c>
      <x:c r="L383" s="60" t="str">
        <x:v> W2 6QH</x:v>
      </x:c>
      <x:c r="M383" s="60"/>
      <x:c r="N383" s="60" t="str">
        <x:v>W2 6QH</x:v>
      </x:c>
      <x:c r="O383" s="61"/>
      <x:c r="P383" s="64" t="str">
        <x:f>IF(OR(O383="",I383=""),"",IFERROR(DATEDIF(O383,I383,"m")/12,""))</x:f>
      </x:c>
      <x:c r="Q383" s="60"/>
      <x:c r="R383" s="61"/>
      <x:c r="S383" s="64" t="str">
        <x:f>IF(OR(R383="",X383=""),"",IFERROR(DATEDIF(R383,X383,"m")/12,""))</x:f>
      </x:c>
      <x:c r="T383" s="60"/>
      <x:c r="U383" s="60"/>
      <x:c r="V383" s="60"/>
      <x:c r="W383" s="63"/>
      <x:c r="X383" s="65" t="n">
        <x:f>TODAY()</x:f>
        <x:v>46250</x:v>
      </x:c>
    </x:row>
    <x:row r="384">
      <x:c r="A384" s="59" t="str">
        <x:v>KOENIG</x:v>
      </x:c>
      <x:c r="B384" s="60" t="str">
        <x:v>ANNA</x:v>
      </x:c>
      <x:c r="C384" s="60"/>
      <x:c r="D384" s="61" t="n">
        <x:v>19968.5</x:v>
      </x:c>
      <x:c r="E384" s="62" t="n">
        <x:f>IF(OR(D384="",X384=""),"",IFERROR(DATEDIF(D384,X384,"y"),""))</x:f>
        <x:v>71</x:v>
      </x:c>
      <x:c r="F384" s="60" t="str">
        <x:v>KOENIG</x:v>
      </x:c>
      <x:c r="G384" s="63"/>
      <x:c r="H384" s="63"/>
      <x:c r="I384" s="61" t="n">
        <x:v>41548.5</x:v>
      </x:c>
      <x:c r="J384" s="64" t="n">
        <x:f>IF(OR(I384="",X384=""),"",IFERROR(DATEDIF(I384,X384,"m")/12,""))</x:f>
        <x:v>12.833333333333334</x:v>
      </x:c>
      <x:c r="K384" s="60" t="str">
        <x:v>FLAT 5, 12A COURTFIELD GARDENS, LONDON, SW5 0PL</x:v>
      </x:c>
      <x:c r="L384" s="60" t="str">
        <x:v> SW5 0PL</x:v>
      </x:c>
      <x:c r="M384" s="60"/>
      <x:c r="N384" s="60" t="str">
        <x:v>SW5 0PL</x:v>
      </x:c>
      <x:c r="O384" s="61" t="n">
        <x:v>37377.5</x:v>
      </x:c>
      <x:c r="P384" s="64" t="n">
        <x:f>IF(OR(O384="",I384=""),"",IFERROR(DATEDIF(O384,I384,"m")/12,""))</x:f>
        <x:v>11.416666666666666</x:v>
      </x:c>
      <x:c r="Q384" s="60" t="str">
        <x:v>23 PETERSHAM MEWS, LONDON, SW7 5NR</x:v>
      </x:c>
      <x:c r="R384" s="61"/>
      <x:c r="S384" s="64" t="str">
        <x:f>IF(OR(R384="",X384=""),"",IFERROR(DATEDIF(R384,X384,"m")/12,""))</x:f>
      </x:c>
      <x:c r="T384" s="60"/>
      <x:c r="U384" s="60"/>
      <x:c r="V384" s="60"/>
      <x:c r="W384" s="63"/>
      <x:c r="X384" s="65" t="n">
        <x:f>TODAY()</x:f>
        <x:v>46250</x:v>
      </x:c>
    </x:row>
    <x:row r="385">
      <x:c r="A385" s="59" t="str">
        <x:v>KOENIG</x:v>
      </x:c>
      <x:c r="B385" s="60" t="str">
        <x:v>JANOS</x:v>
      </x:c>
      <x:c r="C385" s="60" t="str">
        <x:v>FERDINAND</x:v>
      </x:c>
      <x:c r="D385" s="61" t="n">
        <x:v>17744.5</x:v>
      </x:c>
      <x:c r="E385" s="62" t="n">
        <x:f>IF(OR(D385="",X385=""),"",IFERROR(DATEDIF(D385,X385,"y"),""))</x:f>
        <x:v>78</x:v>
      </x:c>
      <x:c r="F385" s="60" t="str">
        <x:v>KOENIG</x:v>
      </x:c>
      <x:c r="G385" s="63"/>
      <x:c r="H385" s="63"/>
      <x:c r="I385" s="61"/>
      <x:c r="J385" s="64" t="str">
        <x:f>IF(OR(I385="",X385=""),"",IFERROR(DATEDIF(I385,X385,"m")/12,""))</x:f>
      </x:c>
      <x:c r="K385" s="60" t="str">
        <x:v>FLAT 5, 12A COURTFIELD GARDENS, LONDON, SW5 0PL</x:v>
      </x:c>
      <x:c r="L385" s="60" t="str">
        <x:v> SW5 0PL</x:v>
      </x:c>
      <x:c r="M385" s="60"/>
      <x:c r="N385" s="60" t="str">
        <x:v>SW5 0PL</x:v>
      </x:c>
      <x:c r="O385" s="61" t="n">
        <x:v>37377.5</x:v>
      </x:c>
      <x:c r="P385" s="64" t="str">
        <x:f>IF(OR(O385="",I385=""),"",IFERROR(DATEDIF(O385,I385,"m")/12,""))</x:f>
      </x:c>
      <x:c r="Q385" s="60" t="str">
        <x:v>23 PETERSHAM MEWS, LONDON, SW7 5NR</x:v>
      </x:c>
      <x:c r="R385" s="61" t="n">
        <x:v>41821.5</x:v>
      </x:c>
      <x:c r="S385" s="64" t="n">
        <x:f>IF(OR(R385="",X385=""),"",IFERROR(DATEDIF(R385,X385,"m")/12,""))</x:f>
        <x:v>12.083333333333334</x:v>
      </x:c>
      <x:c r="T385" s="60"/>
      <x:c r="U385" s="60"/>
      <x:c r="V385" s="60"/>
      <x:c r="W385" s="63"/>
      <x:c r="X385" s="65" t="n">
        <x:f>TODAY()</x:f>
        <x:v>46250</x:v>
      </x:c>
    </x:row>
    <x:row r="386">
      <x:c r="A386" s="59" t="str">
        <x:v>KOSINSKI</x:v>
      </x:c>
      <x:c r="B386" s="60" t="str">
        <x:v>MAREK</x:v>
      </x:c>
      <x:c r="C386" s="60"/>
      <x:c r="D386" s="61"/>
      <x:c r="E386" s="62" t="str">
        <x:f>IF(OR(D386="",X386=""),"",IFERROR(DATEDIF(D386,X386,"y"),""))</x:f>
      </x:c>
      <x:c r="F386" s="60"/>
      <x:c r="G386" s="63"/>
      <x:c r="H386" s="63"/>
      <x:c r="I386" s="61"/>
      <x:c r="J386" s="64" t="str">
        <x:f>IF(OR(I386="",X386=""),"",IFERROR(DATEDIF(I386,X386,"m")/12,""))</x:f>
      </x:c>
      <x:c r="K386" s="60" t="str">
        <x:v>1A BATHURST STREET, LONDON, W2 2SD</x:v>
      </x:c>
      <x:c r="L386" s="60" t="str">
        <x:v> W2 2SD</x:v>
      </x:c>
      <x:c r="M386" s="60"/>
      <x:c r="N386" s="60" t="str">
        <x:v>W2 2SD</x:v>
      </x:c>
      <x:c r="O386" s="61"/>
      <x:c r="P386" s="64" t="str">
        <x:f>IF(OR(O386="",I386=""),"",IFERROR(DATEDIF(O386,I386,"m")/12,""))</x:f>
      </x:c>
      <x:c r="Q386" s="60"/>
      <x:c r="R386" s="61"/>
      <x:c r="S386" s="64" t="str">
        <x:f>IF(OR(R386="",X386=""),"",IFERROR(DATEDIF(R386,X386,"m")/12,""))</x:f>
      </x:c>
      <x:c r="T386" s="60"/>
      <x:c r="U386" s="60"/>
      <x:c r="V386" s="60"/>
      <x:c r="W386" s="63"/>
      <x:c r="X386" s="65" t="n">
        <x:f>TODAY()</x:f>
        <x:v>46250</x:v>
      </x:c>
    </x:row>
    <x:row r="387">
      <x:c r="A387" s="59" t="str">
        <x:v>KOUIDER</x:v>
      </x:c>
      <x:c r="B387" s="60" t="str">
        <x:v>FADEL</x:v>
      </x:c>
      <x:c r="C387" s="60"/>
      <x:c r="D387" s="61" t="n">
        <x:v>28448.5</x:v>
      </x:c>
      <x:c r="E387" s="62" t="n">
        <x:f>IF(OR(D387="",X387=""),"",IFERROR(DATEDIF(D387,X387,"y"),""))</x:f>
        <x:v>48</x:v>
      </x:c>
      <x:c r="F387" s="60"/>
      <x:c r="G387" s="63"/>
      <x:c r="H387" s="63"/>
      <x:c r="I387" s="61"/>
      <x:c r="J387" s="64" t="str">
        <x:f>IF(OR(I387="",X387=""),"",IFERROR(DATEDIF(I387,X387,"m")/12,""))</x:f>
      </x:c>
      <x:c r="K387" s="60"/>
      <x:c r="L387" s="60"/>
      <x:c r="M387" s="60"/>
      <x:c r="N387" s="60"/>
      <x:c r="O387" s="61"/>
      <x:c r="P387" s="64" t="str">
        <x:f>IF(OR(O387="",I387=""),"",IFERROR(DATEDIF(O387,I387,"m")/12,""))</x:f>
      </x:c>
      <x:c r="Q387" s="60"/>
      <x:c r="R387" s="61"/>
      <x:c r="S387" s="64" t="str">
        <x:f>IF(OR(R387="",X387=""),"",IFERROR(DATEDIF(R387,X387,"m")/12,""))</x:f>
      </x:c>
      <x:c r="T387" s="60"/>
      <x:c r="U387" s="60"/>
      <x:c r="V387" s="60"/>
      <x:c r="W387" s="63"/>
      <x:c r="X387" s="65" t="n">
        <x:f>TODAY()</x:f>
        <x:v>46250</x:v>
      </x:c>
    </x:row>
    <x:row r="388">
      <x:c r="A388" s="59" t="str">
        <x:v>KOULI</x:v>
      </x:c>
      <x:c r="B388" s="60" t="str">
        <x:v>DIMITRA</x:v>
      </x:c>
      <x:c r="C388" s="60"/>
      <x:c r="D388" s="61" t="n">
        <x:v>33966.5</x:v>
      </x:c>
      <x:c r="E388" s="62" t="n">
        <x:f>IF(OR(D388="",X388=""),"",IFERROR(DATEDIF(D388,X388,"y"),""))</x:f>
        <x:v>33</x:v>
      </x:c>
      <x:c r="F388" s="60"/>
      <x:c r="G388" s="63"/>
      <x:c r="H388" s="63"/>
      <x:c r="I388" s="61"/>
      <x:c r="J388" s="64" t="str">
        <x:f>IF(OR(I388="",X388=""),"",IFERROR(DATEDIF(I388,X388,"m")/12,""))</x:f>
      </x:c>
      <x:c r="K388" s="60"/>
      <x:c r="L388" s="60"/>
      <x:c r="M388" s="60"/>
      <x:c r="N388" s="60"/>
      <x:c r="O388" s="61"/>
      <x:c r="P388" s="64" t="str">
        <x:f>IF(OR(O388="",I388=""),"",IFERROR(DATEDIF(O388,I388,"m")/12,""))</x:f>
      </x:c>
      <x:c r="Q388" s="60"/>
      <x:c r="R388" s="61"/>
      <x:c r="S388" s="64" t="str">
        <x:f>IF(OR(R388="",X388=""),"",IFERROR(DATEDIF(R388,X388,"m")/12,""))</x:f>
      </x:c>
      <x:c r="T388" s="60"/>
      <x:c r="U388" s="60"/>
      <x:c r="V388" s="60"/>
      <x:c r="W388" s="63"/>
      <x:c r="X388" s="65" t="n">
        <x:f>TODAY()</x:f>
        <x:v>46250</x:v>
      </x:c>
    </x:row>
    <x:row r="389">
      <x:c r="A389" s="59" t="str">
        <x:v>KOULOURIS</x:v>
      </x:c>
      <x:c r="B389" s="60" t="str">
        <x:v>KONSTANTINOS</x:v>
      </x:c>
      <x:c r="C389" s="60"/>
      <x:c r="D389" s="61" t="n">
        <x:v>32677.5</x:v>
      </x:c>
      <x:c r="E389" s="62" t="n">
        <x:f>IF(OR(D389="",X389=""),"",IFERROR(DATEDIF(D389,X389,"y"),""))</x:f>
        <x:v>37</x:v>
      </x:c>
      <x:c r="F389" s="60"/>
      <x:c r="G389" s="63" t="str">
        <x:v>‭07983 142017‬</x:v>
      </x:c>
      <x:c r="H389" s="63"/>
      <x:c r="I389" s="61"/>
      <x:c r="J389" s="64" t="str">
        <x:f>IF(OR(I389="",X389=""),"",IFERROR(DATEDIF(I389,X389,"m")/12,""))</x:f>
      </x:c>
      <x:c r="K389" s="60"/>
      <x:c r="L389" s="60"/>
      <x:c r="M389" s="60"/>
      <x:c r="N389" s="60"/>
      <x:c r="O389" s="61"/>
      <x:c r="P389" s="64" t="str">
        <x:f>IF(OR(O389="",I389=""),"",IFERROR(DATEDIF(O389,I389,"m")/12,""))</x:f>
      </x:c>
      <x:c r="Q389" s="60"/>
      <x:c r="R389" s="61"/>
      <x:c r="S389" s="64" t="str">
        <x:f>IF(OR(R389="",X389=""),"",IFERROR(DATEDIF(R389,X389,"m")/12,""))</x:f>
      </x:c>
      <x:c r="T389" s="60"/>
      <x:c r="U389" s="60"/>
      <x:c r="V389" s="60"/>
      <x:c r="W389" s="63"/>
      <x:c r="X389" s="65" t="n">
        <x:f>TODAY()</x:f>
        <x:v>46250</x:v>
      </x:c>
    </x:row>
    <x:row r="390">
      <x:c r="A390" s="59" t="str">
        <x:v>KRASTEV</x:v>
      </x:c>
      <x:c r="B390" s="60" t="str">
        <x:v>MIHAIL</x:v>
      </x:c>
      <x:c r="C390" s="60" t="str">
        <x:v>STEFANOV</x:v>
      </x:c>
      <x:c r="D390" s="61" t="n">
        <x:v>36024.5</x:v>
      </x:c>
      <x:c r="E390" s="62" t="n">
        <x:f>IF(OR(D390="",X390=""),"",IFERROR(DATEDIF(D390,X390,"y"),""))</x:f>
        <x:v>27</x:v>
      </x:c>
      <x:c r="F390" s="60"/>
      <x:c r="G390" s="63"/>
      <x:c r="H390" s="63"/>
      <x:c r="I390" s="61" t="n">
        <x:v>43952.5</x:v>
      </x:c>
      <x:c r="J390" s="64" t="n">
        <x:f>IF(OR(I390="",X390=""),"",IFERROR(DATEDIF(I390,X390,"m")/12,""))</x:f>
        <x:v>6.25</x:v>
      </x:c>
      <x:c r="K390" s="60" t="str">
        <x:v>84 KENSINGTON GARDENS SQUARE, LONDON, W2 4DJ</x:v>
      </x:c>
      <x:c r="L390" s="60" t="str">
        <x:v> W2 4DJ</x:v>
      </x:c>
      <x:c r="M390" s="60"/>
      <x:c r="N390" s="60" t="str">
        <x:v>W2 4DJ</x:v>
      </x:c>
      <x:c r="O390" s="61" t="n">
        <x:v>43313.5</x:v>
      </x:c>
      <x:c r="P390" s="64" t="n">
        <x:f>IF(OR(O390="",I390=""),"",IFERROR(DATEDIF(O390,I390,"m")/12,""))</x:f>
        <x:v>1.75</x:v>
      </x:c>
      <x:c r="Q390" s="60" t="str">
        <x:v>50A, UPPERTHORPE ROAD, SHEFFIELD, SOUTH YORKSHIRE, S6 3EB</x:v>
      </x:c>
      <x:c r="R390" s="61"/>
      <x:c r="S390" s="64" t="str">
        <x:f>IF(OR(R390="",X390=""),"",IFERROR(DATEDIF(R390,X390,"m")/12,""))</x:f>
      </x:c>
      <x:c r="T390" s="60"/>
      <x:c r="U390" s="60"/>
      <x:c r="V390" s="60"/>
      <x:c r="W390" s="63"/>
      <x:c r="X390" s="65" t="n">
        <x:f>TODAY()</x:f>
        <x:v>46250</x:v>
      </x:c>
    </x:row>
    <x:row r="391">
      <x:c r="A391" s="59" t="str">
        <x:v>KRAUSE</x:v>
      </x:c>
      <x:c r="B391" s="60" t="str">
        <x:v>THOMAS</x:v>
      </x:c>
      <x:c r="C391" s="60"/>
      <x:c r="D391" s="61" t="n">
        <x:v>23811.5</x:v>
      </x:c>
      <x:c r="E391" s="62" t="n">
        <x:f>IF(OR(D391="",X391=""),"",IFERROR(DATEDIF(D391,X391,"y"),""))</x:f>
        <x:v>61</x:v>
      </x:c>
      <x:c r="F391" s="60"/>
      <x:c r="G391" s="63"/>
      <x:c r="H391" s="63"/>
      <x:c r="I391" s="61" t="n">
        <x:v>41487.5</x:v>
      </x:c>
      <x:c r="J391" s="64" t="n">
        <x:f>IF(OR(I391="",X391=""),"",IFERROR(DATEDIF(I391,X391,"m")/12,""))</x:f>
        <x:v>13</x:v>
      </x:c>
      <x:c r="K391" s="60" t="str">
        <x:v>FLAT C, 47 QUEENS GATE, LONDON, SW7 5JN</x:v>
      </x:c>
      <x:c r="L391" s="60" t="str">
        <x:v> SW7 5JN</x:v>
      </x:c>
      <x:c r="M391" s="60"/>
      <x:c r="N391" s="60" t="str">
        <x:v>SW7 5JN</x:v>
      </x:c>
      <x:c r="O391" s="61"/>
      <x:c r="P391" s="64" t="str">
        <x:f>IF(OR(O391="",I391=""),"",IFERROR(DATEDIF(O391,I391,"m")/12,""))</x:f>
      </x:c>
      <x:c r="Q391" s="60"/>
      <x:c r="R391" s="61"/>
      <x:c r="S391" s="64" t="str">
        <x:f>IF(OR(R391="",X391=""),"",IFERROR(DATEDIF(R391,X391,"m")/12,""))</x:f>
      </x:c>
      <x:c r="T391" s="60"/>
      <x:c r="U391" s="60"/>
      <x:c r="V391" s="60"/>
      <x:c r="W391" s="63"/>
      <x:c r="X391" s="65" t="n">
        <x:f>TODAY()</x:f>
        <x:v>46250</x:v>
      </x:c>
    </x:row>
    <x:row r="392">
      <x:c r="A392" s="59" t="str">
        <x:v>KREFTING</x:v>
      </x:c>
      <x:c r="B392" s="60" t="str">
        <x:v>RIKKE</x:v>
      </x:c>
      <x:c r="C392" s="60" t="str">
        <x:v>MATHILDE</x:v>
      </x:c>
      <x:c r="D392" s="61" t="n">
        <x:v>34380.5</x:v>
      </x:c>
      <x:c r="E392" s="62" t="n">
        <x:f>IF(OR(D392="",X392=""),"",IFERROR(DATEDIF(D392,X392,"y"),""))</x:f>
        <x:v>32</x:v>
      </x:c>
      <x:c r="F392" s="60"/>
      <x:c r="G392" s="63"/>
      <x:c r="H392" s="63"/>
      <x:c r="I392" s="61" t="n">
        <x:v>42856.5</x:v>
      </x:c>
      <x:c r="J392" s="64" t="n">
        <x:f>IF(OR(I392="",X392=""),"",IFERROR(DATEDIF(I392,X392,"m")/12,""))</x:f>
        <x:v>9.25</x:v>
      </x:c>
      <x:c r="K392" s="60" t="str">
        <x:v>73 ONSLOW GARDENS, LONDON, SW7 3QD</x:v>
      </x:c>
      <x:c r="L392" s="60" t="str">
        <x:v> SW7 3QD</x:v>
      </x:c>
      <x:c r="M392" s="60"/>
      <x:c r="N392" s="60" t="str">
        <x:v>SW7 3QD</x:v>
      </x:c>
      <x:c r="O392" s="61"/>
      <x:c r="P392" s="64" t="str">
        <x:f>IF(OR(O392="",I392=""),"",IFERROR(DATEDIF(O392,I392,"m")/12,""))</x:f>
      </x:c>
      <x:c r="Q392" s="60"/>
      <x:c r="R392" s="61" t="n">
        <x:v>43435.5</x:v>
      </x:c>
      <x:c r="S392" s="64" t="n">
        <x:f>IF(OR(R392="",X392=""),"",IFERROR(DATEDIF(R392,X392,"m")/12,""))</x:f>
        <x:v>7.666666666666667</x:v>
      </x:c>
      <x:c r="T392" s="60" t="str">
        <x:v>PR AND COMMUNICATION ASSISTANT</x:v>
      </x:c>
      <x:c r="U392" s="60" t="str">
        <x:v>TOM FORD</x:v>
      </x:c>
      <x:c r="V392" s="60" t="str">
        <x:v>7 HOWICK PLACE, LONDON, SW1P 1BB</x:v>
      </x:c>
      <x:c r="W392" s="63"/>
      <x:c r="X392" s="65" t="n">
        <x:f>TODAY()</x:f>
        <x:v>46250</x:v>
      </x:c>
    </x:row>
    <x:row r="393">
      <x:c r="A393" s="59" t="str">
        <x:v>KUKULJAN</x:v>
      </x:c>
      <x:c r="B393" s="60" t="str">
        <x:v>INGRID</x:v>
      </x:c>
      <x:c r="C393" s="60" t="str">
        <x:v>ELIZABETH</x:v>
      </x:c>
      <x:c r="D393" s="61" t="n">
        <x:v>27413.5</x:v>
      </x:c>
      <x:c r="E393" s="62" t="n">
        <x:f>IF(OR(D393="",X393=""),"",IFERROR(DATEDIF(D393,X393,"y"),""))</x:f>
        <x:v>51</x:v>
      </x:c>
      <x:c r="F393" s="60" t="str">
        <x:v>HORVAT</x:v>
      </x:c>
      <x:c r="G393" s="63" t="str">
        <x:v>07415801615</x:v>
      </x:c>
      <x:c r="H393" s="63"/>
      <x:c r="I393" s="61" t="n">
        <x:v>41760.5</x:v>
      </x:c>
      <x:c r="J393" s="64" t="n">
        <x:f>IF(OR(I393="",X393=""),"",IFERROR(DATEDIF(I393,X393,"m")/12,""))</x:f>
        <x:v>12.25</x:v>
      </x:c>
      <x:c r="K393" s="60" t="str">
        <x:v>FLAT D, 1 QUEEN'S GATE PLACE, LONDON, SW7 5NT</x:v>
      </x:c>
      <x:c r="L393" s="60" t="str">
        <x:v> SW7 5NT</x:v>
      </x:c>
      <x:c r="M393" s="60"/>
      <x:c r="N393" s="60" t="str">
        <x:v>SW7 5NT</x:v>
      </x:c>
      <x:c r="O393" s="61" t="n">
        <x:v>41030.5</x:v>
      </x:c>
      <x:c r="P393" s="64" t="n">
        <x:f>IF(OR(O393="",I393=""),"",IFERROR(DATEDIF(O393,I393,"m")/12,""))</x:f>
        <x:v>2</x:v>
      </x:c>
      <x:c r="Q393" s="60" t="str">
        <x:v>FLAT 3, 4, QUEEN'S GATE PLACE, KNIGHTSBRIDGE, LONDON, SW7 5NT</x:v>
      </x:c>
      <x:c r="R393" s="61"/>
      <x:c r="S393" s="64" t="str">
        <x:f>IF(OR(R393="",X393=""),"",IFERROR(DATEDIF(R393,X393,"m")/12,""))</x:f>
      </x:c>
      <x:c r="T393" s="60"/>
      <x:c r="U393" s="60"/>
      <x:c r="V393" s="60"/>
      <x:c r="W393" s="63"/>
      <x:c r="X393" s="65" t="n">
        <x:f>TODAY()</x:f>
        <x:v>46250</x:v>
      </x:c>
    </x:row>
    <x:row r="394">
      <x:c r="A394" s="59" t="str">
        <x:v>KUPCIKAS</x:v>
      </x:c>
      <x:c r="B394" s="60" t="str">
        <x:v>KAROLIS</x:v>
      </x:c>
      <x:c r="C394" s="60"/>
      <x:c r="D394" s="61" t="n">
        <x:v>33941.5</x:v>
      </x:c>
      <x:c r="E394" s="62" t="n">
        <x:f>IF(OR(D394="",X394=""),"",IFERROR(DATEDIF(D394,X394,"y"),""))</x:f>
        <x:v>33</x:v>
      </x:c>
      <x:c r="F394" s="60"/>
      <x:c r="G394" s="63" t="str">
        <x:v>07983142017</x:v>
      </x:c>
      <x:c r="H394" s="63"/>
      <x:c r="I394" s="61" t="n">
        <x:v>43374.5</x:v>
      </x:c>
      <x:c r="J394" s="64" t="n">
        <x:f>IF(OR(I394="",X394=""),"",IFERROR(DATEDIF(I394,X394,"m")/12,""))</x:f>
        <x:v>7.833333333333333</x:v>
      </x:c>
      <x:c r="K394" s="60" t="str">
        <x:v>FLAT 11, 292-294 FULHAM ROAD, LONDON, SW10 9EW</x:v>
      </x:c>
      <x:c r="L394" s="60" t="str">
        <x:v> SW10 9EW</x:v>
      </x:c>
      <x:c r="M394" s="60"/>
      <x:c r="N394" s="60" t="str">
        <x:v>SW10 9EW</x:v>
      </x:c>
      <x:c r="O394" s="61"/>
      <x:c r="P394" s="64" t="str">
        <x:f>IF(OR(O394="",I394=""),"",IFERROR(DATEDIF(O394,I394,"m")/12,""))</x:f>
      </x:c>
      <x:c r="Q394" s="60"/>
      <x:c r="R394" s="61" t="n">
        <x:v>44531.5</x:v>
      </x:c>
      <x:c r="S394" s="64" t="n">
        <x:f>IF(OR(R394="",X394=""),"",IFERROR(DATEDIF(R394,X394,"m")/12,""))</x:f>
        <x:v>4.666666666666667</x:v>
      </x:c>
      <x:c r="T394" s="60" t="str">
        <x:v>TERRITORY SALES MANAGER</x:v>
      </x:c>
      <x:c r="U394" s="60" t="str">
        <x:v>ORACLE CX - UAE</x:v>
      </x:c>
      <x:c r="V394" s="60" t="str">
        <x:v>THAMES VALLEY PARK, 510 ORACLE PARKWAY, READING, RG6 1RA, GB</x:v>
      </x:c>
      <x:c r="W394" s="63" t="str">
        <x:v>0118 924 0000</x:v>
      </x:c>
      <x:c r="X394" s="65" t="n">
        <x:f>TODAY()</x:f>
        <x:v>46250</x:v>
      </x:c>
    </x:row>
    <x:row r="395">
      <x:c r="A395" s="59" t="str">
        <x:v>L</x:v>
      </x:c>
      <x:c r="B395" s="60"/>
      <x:c r="C395" s="60"/>
      <x:c r="D395" s="61"/>
      <x:c r="E395" s="62" t="str">
        <x:f>IF(OR(D395="",X395=""),"",IFERROR(DATEDIF(D395,X395,"y"),""))</x:f>
      </x:c>
      <x:c r="F395" s="60"/>
      <x:c r="G395" s="63"/>
      <x:c r="H395" s="63"/>
      <x:c r="I395" s="61"/>
      <x:c r="J395" s="64" t="str">
        <x:f>IF(OR(I395="",X395=""),"",IFERROR(DATEDIF(I395,X395,"m")/12,""))</x:f>
      </x:c>
      <x:c r="K395" s="60"/>
      <x:c r="L395" s="60"/>
      <x:c r="M395" s="60"/>
      <x:c r="N395" s="60"/>
      <x:c r="O395" s="61"/>
      <x:c r="P395" s="64" t="str">
        <x:f>IF(OR(O395="",I395=""),"",IFERROR(DATEDIF(O395,I395,"m")/12,""))</x:f>
      </x:c>
      <x:c r="Q395" s="60"/>
      <x:c r="R395" s="61"/>
      <x:c r="S395" s="64" t="str">
        <x:f>IF(OR(R395="",X395=""),"",IFERROR(DATEDIF(R395,X395,"m")/12,""))</x:f>
      </x:c>
      <x:c r="T395" s="60"/>
      <x:c r="U395" s="60"/>
      <x:c r="V395" s="60"/>
      <x:c r="W395" s="63"/>
      <x:c r="X395" s="65" t="n">
        <x:f>TODAY()</x:f>
        <x:v>46250</x:v>
      </x:c>
    </x:row>
    <x:row r="396">
      <x:c r="A396" s="59" t="str">
        <x:v>LA GROTTERIA</x:v>
      </x:c>
      <x:c r="B396" s="60" t="str">
        <x:v>NELLA</x:v>
      </x:c>
      <x:c r="C396" s="60"/>
      <x:c r="D396" s="61" t="n">
        <x:v>30109.5</x:v>
      </x:c>
      <x:c r="E396" s="62" t="n">
        <x:f>IF(OR(D396="",X396=""),"",IFERROR(DATEDIF(D396,X396,"y"),""))</x:f>
        <x:v>44</x:v>
      </x:c>
      <x:c r="F396" s="60"/>
      <x:c r="G396" s="63"/>
      <x:c r="H396" s="63"/>
      <x:c r="I396" s="61" t="n">
        <x:v>42736.5</x:v>
      </x:c>
      <x:c r="J396" s="64" t="n">
        <x:f>IF(OR(I396="",X396=""),"",IFERROR(DATEDIF(I396,X396,"m")/12,""))</x:f>
        <x:v>9.583333333333334</x:v>
      </x:c>
      <x:c r="K396" s="60" t="str">
        <x:v>FLAT 4, 33/37 ST. JOHN'S HILL CLAPHAM JUNCTION LONDON, SW111TT</x:v>
      </x:c>
      <x:c r="L396" s="60" t="str">
        <x:v> SW111TT</x:v>
      </x:c>
      <x:c r="M396" s="60"/>
      <x:c r="N396" s="60" t="str">
        <x:v>SW111TT</x:v>
      </x:c>
      <x:c r="O396" s="61" t="n">
        <x:v>40756.5</x:v>
      </x:c>
      <x:c r="P396" s="64" t="n">
        <x:f>IF(OR(O396="",I396=""),"",IFERROR(DATEDIF(O396,I396,"m")/12,""))</x:f>
        <x:v>5.416666666666667</x:v>
      </x:c>
      <x:c r="Q396" s="60" t="str">
        <x:v>91 EFFRA ROAD, LONDON, SW19 8PS</x:v>
      </x:c>
      <x:c r="R396" s="61"/>
      <x:c r="S396" s="64" t="str">
        <x:f>IF(OR(R396="",X396=""),"",IFERROR(DATEDIF(R396,X396,"m")/12,""))</x:f>
      </x:c>
      <x:c r="T396" s="60"/>
      <x:c r="U396" s="60"/>
      <x:c r="V396" s="60"/>
      <x:c r="W396" s="63"/>
      <x:c r="X396" s="65" t="n">
        <x:f>TODAY()</x:f>
        <x:v>46250</x:v>
      </x:c>
    </x:row>
    <x:row r="397">
      <x:c r="A397" s="59" t="str">
        <x:v>LADHA</x:v>
      </x:c>
      <x:c r="B397" s="60" t="str">
        <x:v>SHAZAD</x:v>
      </x:c>
      <x:c r="C397" s="60" t="str">
        <x:v>AFTAB</x:v>
      </x:c>
      <x:c r="D397" s="61" t="n">
        <x:v>34523.5</x:v>
      </x:c>
      <x:c r="E397" s="62" t="n">
        <x:f>IF(OR(D397="",X397=""),"",IFERROR(DATEDIF(D397,X397,"y"),""))</x:f>
        <x:v>32</x:v>
      </x:c>
      <x:c r="F397" s="60" t="str">
        <x:v>ELIAS</x:v>
      </x:c>
      <x:c r="G397" s="63" t="str">
        <x:v>07943795296</x:v>
      </x:c>
      <x:c r="H397" s="63" t="str">
        <x:v>JZ276421B</x:v>
      </x:c>
      <x:c r="I397" s="61" t="n">
        <x:v>43466.5</x:v>
      </x:c>
      <x:c r="J397" s="64" t="n">
        <x:f>IF(OR(I397="",X397=""),"",IFERROR(DATEDIF(I397,X397,"m")/12,""))</x:f>
        <x:v>7.583333333333333</x:v>
      </x:c>
      <x:c r="K397" s="60" t="str">
        <x:v>FLAT 4, 417A NORTH END ROAD, LONDON, SW6 1NY</x:v>
      </x:c>
      <x:c r="L397" s="60" t="str">
        <x:v> SW6 1NY</x:v>
      </x:c>
      <x:c r="M397" s="60"/>
      <x:c r="N397" s="60" t="str">
        <x:v>SW6 1NY</x:v>
      </x:c>
      <x:c r="O397" s="61"/>
      <x:c r="P397" s="64" t="str">
        <x:f>IF(OR(O397="",I397=""),"",IFERROR(DATEDIF(O397,I397,"m")/12,""))</x:f>
      </x:c>
      <x:c r="Q397" s="60"/>
      <x:c r="R397" s="61" t="n">
        <x:v>44501.5</x:v>
      </x:c>
      <x:c r="S397" s="64" t="n">
        <x:f>IF(OR(R397="",X397=""),"",IFERROR(DATEDIF(R397,X397,"m")/12,""))</x:f>
        <x:v>4.75</x:v>
      </x:c>
      <x:c r="T397" s="60" t="str">
        <x:v>BUSINESS ANALYST</x:v>
      </x:c>
      <x:c r="U397" s="60" t="str">
        <x:v>BACKBASE UK</x:v>
      </x:c>
      <x:c r="V397" s="60" t="str">
        <x:v>SECOND FLOOR, 3 SUTTON LANE, LONODN, EC1M 5PU</x:v>
      </x:c>
      <x:c r="W397" s="63"/>
      <x:c r="X397" s="65" t="n">
        <x:f>TODAY()</x:f>
        <x:v>46250</x:v>
      </x:c>
    </x:row>
    <x:row r="398">
      <x:c r="A398" s="59" t="str">
        <x:v>LAFITTE</x:v>
      </x:c>
      <x:c r="B398" s="60" t="str">
        <x:v>JULIEN</x:v>
      </x:c>
      <x:c r="C398" s="60"/>
      <x:c r="D398" s="61" t="n">
        <x:v>32329.5</x:v>
      </x:c>
      <x:c r="E398" s="62" t="n">
        <x:f>IF(OR(D398="",X398=""),"",IFERROR(DATEDIF(D398,X398,"y"),""))</x:f>
        <x:v>38</x:v>
      </x:c>
      <x:c r="F398" s="60"/>
      <x:c r="G398" s="63" t="str">
        <x:v>07925016919</x:v>
      </x:c>
      <x:c r="H398" s="63"/>
      <x:c r="I398" s="61" t="n">
        <x:v>45505.5</x:v>
      </x:c>
      <x:c r="J398" s="64" t="n">
        <x:f>IF(OR(I398="",X398=""),"",IFERROR(DATEDIF(I398,X398,"m")/12,""))</x:f>
        <x:v>2</x:v>
      </x:c>
      <x:c r="K398" s="60" t="str">
        <x:v>BASEMENT FLAT, 1 DRAYCOTT PLACE, LONDON, SW3 2SE</x:v>
      </x:c>
      <x:c r="L398" s="60" t="str">
        <x:v> SW3 2SE</x:v>
      </x:c>
      <x:c r="M398" s="60"/>
      <x:c r="N398" s="60" t="str">
        <x:v>SW3 2SE</x:v>
      </x:c>
      <x:c r="O398" s="61" t="n">
        <x:v>42309.5</x:v>
      </x:c>
      <x:c r="P398" s="64" t="n">
        <x:f>IF(OR(O398="",I398=""),"",IFERROR(DATEDIF(O398,I398,"m")/12,""))</x:f>
        <x:v>8.75</x:v>
      </x:c>
      <x:c r="Q398" s="60" t="str">
        <x:v>FLAT 1-10, 34-36 HARRINGTON ROAD, LONDON, SW7 3ND</x:v>
      </x:c>
      <x:c r="R398" s="61" t="n">
        <x:v>41306.5</x:v>
      </x:c>
      <x:c r="S398" s="64" t="n">
        <x:f>IF(OR(R398="",X398=""),"",IFERROR(DATEDIF(R398,X398,"m")/12,""))</x:f>
        <x:v>13.5</x:v>
      </x:c>
      <x:c r="T398" s="60" t="str">
        <x:v>DIRECTOR</x:v>
      </x:c>
      <x:c r="U398" s="60" t="str">
        <x:v>HORDEN CHERRY LEE ARCHITECTS</x:v>
      </x:c>
      <x:c r="V398" s="60" t="str">
        <x:v>BERGER HOUSE, 36-38 BERKELEY SQUARE, LONDON, W1J 5AE</x:v>
      </x:c>
      <x:c r="W398" s="63"/>
      <x:c r="X398" s="65" t="n">
        <x:f>TODAY()</x:f>
        <x:v>46250</x:v>
      </x:c>
    </x:row>
    <x:row r="399">
      <x:c r="A399" s="59" t="str">
        <x:v>LAFORTEZZA</x:v>
      </x:c>
      <x:c r="B399" s="60" t="str">
        <x:v>MAURIZIO</x:v>
      </x:c>
      <x:c r="C399" s="60"/>
      <x:c r="D399" s="61" t="n">
        <x:v>33109.5</x:v>
      </x:c>
      <x:c r="E399" s="62" t="n">
        <x:f>IF(OR(D399="",X399=""),"",IFERROR(DATEDIF(D399,X399,"y"),""))</x:f>
        <x:v>35</x:v>
      </x:c>
      <x:c r="F399" s="60"/>
      <x:c r="G399" s="63" t="str">
        <x:v>07342574333</x:v>
      </x:c>
      <x:c r="H399" s="63"/>
      <x:c r="I399" s="61" t="n">
        <x:v>44682.5</x:v>
      </x:c>
      <x:c r="J399" s="64" t="n">
        <x:f>IF(OR(I399="",X399=""),"",IFERROR(DATEDIF(I399,X399,"m")/12,""))</x:f>
        <x:v>4.25</x:v>
      </x:c>
      <x:c r="K399" s="60" t="str">
        <x:v>FLAT E, CAPITAL HOUSE, 20-22 CRAVEN ROAD, LONDON, W2 3PX</x:v>
      </x:c>
      <x:c r="L399" s="60" t="str">
        <x:v> W2 3PX</x:v>
      </x:c>
      <x:c r="M399" s="60"/>
      <x:c r="N399" s="60" t="str">
        <x:v>W2 3PX</x:v>
      </x:c>
      <x:c r="O399" s="61" t="n">
        <x:v>44348.5</x:v>
      </x:c>
      <x:c r="P399" s="64" t="n">
        <x:f>IF(OR(O399="",I399=""),"",IFERROR(DATEDIF(O399,I399,"m")/12,""))</x:f>
        <x:v>0.9166666666666666</x:v>
      </x:c>
      <x:c r="Q399" s="60" t="str">
        <x:v>249 HAMPSON WAY, LONDON, SW8 1HT</x:v>
      </x:c>
      <x:c r="R399" s="61"/>
      <x:c r="S399" s="64" t="str">
        <x:f>IF(OR(R399="",X399=""),"",IFERROR(DATEDIF(R399,X399,"m")/12,""))</x:f>
      </x:c>
      <x:c r="T399" s="60" t="str">
        <x:v>RESTAURANT SUPERVISOR</x:v>
      </x:c>
      <x:c r="U399" s="60" t="str">
        <x:v>OSWALD'S PRIVATE MEMBER'S CLUB</x:v>
      </x:c>
      <x:c r="V399" s="60" t="str">
        <x:v>25 ALBEMARLE STREET, LONDON, GREATER LONDON W1S 4HU, GB</x:v>
      </x:c>
      <x:c r="W399" s="63"/>
      <x:c r="X399" s="65" t="n">
        <x:f>TODAY()</x:f>
        <x:v>46250</x:v>
      </x:c>
    </x:row>
    <x:row r="400">
      <x:c r="A400" s="59" t="str">
        <x:v>LAHNSTEIN</x:v>
      </x:c>
      <x:c r="B400" s="60" t="str">
        <x:v>FLORIAN</x:v>
      </x:c>
      <x:c r="C400" s="60" t="str">
        <x:v>OLIVER</x:v>
      </x:c>
      <x:c r="D400" s="61" t="n">
        <x:v>23820.5</x:v>
      </x:c>
      <x:c r="E400" s="62" t="n">
        <x:f>IF(OR(D400="",X400=""),"",IFERROR(DATEDIF(D400,X400,"y"),""))</x:f>
        <x:v>61</x:v>
      </x:c>
      <x:c r="F400" s="60"/>
      <x:c r="G400" s="63"/>
      <x:c r="H400" s="63"/>
      <x:c r="I400" s="61" t="n">
        <x:v>41852.5</x:v>
      </x:c>
      <x:c r="J400" s="64" t="n">
        <x:f>IF(OR(I400="",X400=""),"",IFERROR(DATEDIF(I400,X400,"m")/12,""))</x:f>
        <x:v>12</x:v>
      </x:c>
      <x:c r="K400" s="60" t="str">
        <x:v>FLAT 5, 40 L.ENNOX GARDENS, LONDON, SW1X ODH</x:v>
      </x:c>
      <x:c r="L400" s="60" t="str">
        <x:v> SW1X ODH</x:v>
      </x:c>
      <x:c r="M400" s="60"/>
      <x:c r="N400" s="60" t="str">
        <x:v>SW1X ODH</x:v>
      </x:c>
      <x:c r="O400" s="61" t="n">
        <x:v>39203.5</x:v>
      </x:c>
      <x:c r="P400" s="64" t="n">
        <x:f>IF(OR(O400="",I400=""),"",IFERROR(DATEDIF(O400,I400,"m")/12,""))</x:f>
        <x:v>7.25</x:v>
      </x:c>
      <x:c r="Q400" s="60" t="str">
        <x:v>62, CHEYNE WALK, CHELSEA, LONDON, SW3 5LX</x:v>
      </x:c>
      <x:c r="R400" s="61"/>
      <x:c r="S400" s="64" t="str">
        <x:f>IF(OR(R400="",X400=""),"",IFERROR(DATEDIF(R400,X400,"m")/12,""))</x:f>
      </x:c>
      <x:c r="T400" s="60"/>
      <x:c r="U400" s="60"/>
      <x:c r="V400" s="60"/>
      <x:c r="W400" s="63"/>
      <x:c r="X400" s="65" t="n">
        <x:f>TODAY()</x:f>
        <x:v>46250</x:v>
      </x:c>
    </x:row>
    <x:row r="401">
      <x:c r="A401" s="59" t="str">
        <x:v>LAMTI</x:v>
      </x:c>
      <x:c r="B401" s="60" t="str">
        <x:v>AMINE</x:v>
      </x:c>
      <x:c r="C401" s="60"/>
      <x:c r="D401" s="61" t="n">
        <x:v>36188.5</x:v>
      </x:c>
      <x:c r="E401" s="62" t="n">
        <x:f>IF(OR(D401="",X401=""),"",IFERROR(DATEDIF(D401,X401,"y"),""))</x:f>
        <x:v>27</x:v>
      </x:c>
      <x:c r="F401" s="60"/>
      <x:c r="G401" s="63"/>
      <x:c r="H401" s="63"/>
      <x:c r="I401" s="61"/>
      <x:c r="J401" s="64" t="str">
        <x:f>IF(OR(I401="",X401=""),"",IFERROR(DATEDIF(I401,X401,"m")/12,""))</x:f>
      </x:c>
      <x:c r="K401" s="60"/>
      <x:c r="L401" s="60"/>
      <x:c r="M401" s="60"/>
      <x:c r="N401" s="60"/>
      <x:c r="O401" s="61"/>
      <x:c r="P401" s="64" t="str">
        <x:f>IF(OR(O401="",I401=""),"",IFERROR(DATEDIF(O401,I401,"m")/12,""))</x:f>
      </x:c>
      <x:c r="Q401" s="60" t="str">
        <x:v>FLAT 11, 7 BRECHIN PLACE, LONDON, SW7 4QB</x:v>
      </x:c>
      <x:c r="R401" s="61"/>
      <x:c r="S401" s="64" t="str">
        <x:f>IF(OR(R401="",X401=""),"",IFERROR(DATEDIF(R401,X401,"m")/12,""))</x:f>
      </x:c>
      <x:c r="T401" s="60"/>
      <x:c r="U401" s="60"/>
      <x:c r="V401" s="60"/>
      <x:c r="W401" s="63"/>
      <x:c r="X401" s="65" t="n">
        <x:f>TODAY()</x:f>
        <x:v>46250</x:v>
      </x:c>
    </x:row>
    <x:row r="402">
      <x:c r="A402" s="59" t="str">
        <x:v>LANGRIDGE</x:v>
      </x:c>
      <x:c r="B402" s="60" t="str">
        <x:v>CHARLOTTE</x:v>
      </x:c>
      <x:c r="C402" s="60" t="str">
        <x:v>LYNNE</x:v>
      </x:c>
      <x:c r="D402" s="61" t="n">
        <x:v>32427.5</x:v>
      </x:c>
      <x:c r="E402" s="62" t="n">
        <x:f>IF(OR(D402="",X402=""),"",IFERROR(DATEDIF(D402,X402,"y"),""))</x:f>
        <x:v>37</x:v>
      </x:c>
      <x:c r="F402" s="60"/>
      <x:c r="G402" s="63"/>
      <x:c r="H402" s="63"/>
      <x:c r="I402" s="61"/>
      <x:c r="J402" s="64" t="str">
        <x:f>IF(OR(I402="",X402=""),"",IFERROR(DATEDIF(I402,X402,"m")/12,""))</x:f>
      </x:c>
      <x:c r="K402" s="60"/>
      <x:c r="L402" s="60"/>
      <x:c r="M402" s="60"/>
      <x:c r="N402" s="60"/>
      <x:c r="O402" s="61"/>
      <x:c r="P402" s="64" t="str">
        <x:f>IF(OR(O402="",I402=""),"",IFERROR(DATEDIF(O402,I402,"m")/12,""))</x:f>
      </x:c>
      <x:c r="Q402" s="60"/>
      <x:c r="R402" s="61"/>
      <x:c r="S402" s="64" t="str">
        <x:f>IF(OR(R402="",X402=""),"",IFERROR(DATEDIF(R402,X402,"m")/12,""))</x:f>
      </x:c>
      <x:c r="T402" s="60"/>
      <x:c r="U402" s="60"/>
      <x:c r="V402" s="60"/>
      <x:c r="W402" s="63"/>
      <x:c r="X402" s="65" t="n">
        <x:f>TODAY()</x:f>
        <x:v>46250</x:v>
      </x:c>
    </x:row>
    <x:row r="403">
      <x:c r="A403" s="59" t="str">
        <x:v>LARINA</x:v>
      </x:c>
      <x:c r="B403" s="60" t="str">
        <x:v>ANNA</x:v>
      </x:c>
      <x:c r="C403" s="60"/>
      <x:c r="D403" s="61" t="n">
        <x:v>35565.5</x:v>
      </x:c>
      <x:c r="E403" s="62" t="n">
        <x:f>IF(OR(D403="",X403=""),"",IFERROR(DATEDIF(D403,X403,"y"),""))</x:f>
        <x:v>29</x:v>
      </x:c>
      <x:c r="F403" s="60" t="str">
        <x:v>LARINA</x:v>
      </x:c>
      <x:c r="G403" s="63"/>
      <x:c r="H403" s="63"/>
      <x:c r="I403" s="61" t="n">
        <x:v>43647.5</x:v>
      </x:c>
      <x:c r="J403" s="64" t="n">
        <x:f>IF(OR(I403="",X403=""),"",IFERROR(DATEDIF(I403,X403,"m")/12,""))</x:f>
        <x:v>7.083333333333333</x:v>
      </x:c>
      <x:c r="K403" s="60" t="str">
        <x:v>FLAT 11, 59 BONDWAY, LONDON SW8 1SJ</x:v>
      </x:c>
      <x:c r="L403" s="60"/>
      <x:c r="M403" s="60"/>
      <x:c r="N403" s="60"/>
      <x:c r="O403" s="61"/>
      <x:c r="P403" s="64" t="str">
        <x:f>IF(OR(O403="",I403=""),"",IFERROR(DATEDIF(O403,I403,"m")/12,""))</x:f>
      </x:c>
      <x:c r="Q403" s="60"/>
      <x:c r="R403" s="61"/>
      <x:c r="S403" s="64" t="str">
        <x:f>IF(OR(R403="",X403=""),"",IFERROR(DATEDIF(R403,X403,"m")/12,""))</x:f>
      </x:c>
      <x:c r="T403" s="60"/>
      <x:c r="U403" s="60"/>
      <x:c r="V403" s="60"/>
      <x:c r="W403" s="63"/>
      <x:c r="X403" s="65" t="n">
        <x:f>TODAY()</x:f>
        <x:v>46250</x:v>
      </x:c>
    </x:row>
    <x:row r="404">
      <x:c r="A404" s="59" t="str">
        <x:v>LARSEN</x:v>
      </x:c>
      <x:c r="B404" s="60" t="str">
        <x:v>EMIL</x:v>
      </x:c>
      <x:c r="C404" s="60" t="str">
        <x:v>INGEMANN</x:v>
      </x:c>
      <x:c r="D404" s="61"/>
      <x:c r="E404" s="62" t="str">
        <x:f>IF(OR(D404="",X404=""),"",IFERROR(DATEDIF(D404,X404,"y"),""))</x:f>
      </x:c>
      <x:c r="F404" s="60"/>
      <x:c r="G404" s="63"/>
      <x:c r="H404" s="63"/>
      <x:c r="I404" s="61" t="n">
        <x:v>44409.5</x:v>
      </x:c>
      <x:c r="J404" s="64" t="n">
        <x:f>IF(OR(I404="",X404=""),"",IFERROR(DATEDIF(I404,X404,"m")/12,""))</x:f>
        <x:v>5</x:v>
      </x:c>
      <x:c r="K404" s="60" t="str">
        <x:v>FLAT 8, 39 DRAYCOTT PLACE, LONDON, SW3 2SH</x:v>
      </x:c>
      <x:c r="L404" s="60" t="str">
        <x:v> SW3 2SH</x:v>
      </x:c>
      <x:c r="M404" s="60"/>
      <x:c r="N404" s="60" t="str">
        <x:v>SW3 2SH</x:v>
      </x:c>
      <x:c r="O404" s="61" t="n">
        <x:v>42186.5</x:v>
      </x:c>
      <x:c r="P404" s="64" t="n">
        <x:f>IF(OR(O404="",I404=""),"",IFERROR(DATEDIF(O404,I404,"m")/12,""))</x:f>
        <x:v>6.083333333333333</x:v>
      </x:c>
      <x:c r="Q404" s="60" t="str">
        <x:v> FLAT 29, ADMIRAL HOUSE, WILLOW PLACE, LONDON, LONDON, SW1P 1JW</x:v>
      </x:c>
      <x:c r="R404" s="61"/>
      <x:c r="S404" s="64" t="str">
        <x:f>IF(OR(R404="",X404=""),"",IFERROR(DATEDIF(R404,X404,"m")/12,""))</x:f>
      </x:c>
      <x:c r="T404" s="60"/>
      <x:c r="U404" s="60"/>
      <x:c r="V404" s="60"/>
      <x:c r="W404" s="63"/>
      <x:c r="X404" s="65" t="n">
        <x:f>TODAY()</x:f>
        <x:v>46250</x:v>
      </x:c>
    </x:row>
    <x:row r="405">
      <x:c r="A405" s="59" t="str">
        <x:v>LATIF</x:v>
      </x:c>
      <x:c r="B405" s="60" t="str">
        <x:v>ZIAUR</x:v>
      </x:c>
      <x:c r="C405" s="60" t="str">
        <x:v>RAHMAN</x:v>
      </x:c>
      <x:c r="D405" s="61" t="n">
        <x:v>29688.5</x:v>
      </x:c>
      <x:c r="E405" s="62" t="n">
        <x:f>IF(OR(D405="",X405=""),"",IFERROR(DATEDIF(D405,X405,"y"),""))</x:f>
        <x:v>45</x:v>
      </x:c>
      <x:c r="F405" s="60" t="str">
        <x:v>MIZE</x:v>
      </x:c>
      <x:c r="G405" s="63"/>
      <x:c r="H405" s="63"/>
      <x:c r="I405" s="61" t="n">
        <x:v>43191.5</x:v>
      </x:c>
      <x:c r="J405" s="64" t="n">
        <x:f>IF(OR(I405="",X405=""),"",IFERROR(DATEDIF(I405,X405,"m")/12,""))</x:f>
        <x:v>8.333333333333334</x:v>
      </x:c>
      <x:c r="K405" s="60" t="str">
        <x:v>FLAT 6, 188-190 EARLS COURT ROAD, LONDON, SW5 9QG</x:v>
      </x:c>
      <x:c r="L405" s="60" t="str">
        <x:v> SW5 9QG</x:v>
      </x:c>
      <x:c r="M405" s="60"/>
      <x:c r="N405" s="60" t="str">
        <x:v>SW5 9QG</x:v>
      </x:c>
      <x:c r="O405" s="61"/>
      <x:c r="P405" s="64" t="str">
        <x:f>IF(OR(O405="",I405=""),"",IFERROR(DATEDIF(O405,I405,"m")/12,""))</x:f>
      </x:c>
      <x:c r="Q405" s="60"/>
      <x:c r="R405" s="61" t="n">
        <x:v>44562.5</x:v>
      </x:c>
      <x:c r="S405" s="64" t="n">
        <x:f>IF(OR(R405="",X405=""),"",IFERROR(DATEDIF(R405,X405,"m")/12,""))</x:f>
        <x:v>4.583333333333333</x:v>
      </x:c>
      <x:c r="T405" s="60" t="str">
        <x:v>CO DIRECTOR</x:v>
      </x:c>
      <x:c r="U405" s="60" t="str">
        <x:v>SQUARE BUBBLES</x:v>
      </x:c>
      <x:c r="V405" s="60" t="str">
        <x:v>UNIT 10, VISION INDUSTRIAL PARK, KENDAL AVE, LONDON W3 0AF</x:v>
      </x:c>
      <x:c r="W405" s="63" t="str">
        <x:v>020 8993 1684</x:v>
      </x:c>
      <x:c r="X405" s="65" t="n">
        <x:f>TODAY()</x:f>
        <x:v>46250</x:v>
      </x:c>
    </x:row>
    <x:row r="406">
      <x:c r="A406" s="59" t="str">
        <x:v>LAVENDER</x:v>
      </x:c>
      <x:c r="B406" s="60" t="str">
        <x:v>JILIAN</x:v>
      </x:c>
      <x:c r="C406" s="60" t="str">
        <x:v>JANET</x:v>
      </x:c>
      <x:c r="D406" s="61" t="n">
        <x:v>24506.5</x:v>
      </x:c>
      <x:c r="E406" s="62" t="n">
        <x:f>IF(OR(D406="",X406=""),"",IFERROR(DATEDIF(D406,X406,"y"),""))</x:f>
        <x:v>59</x:v>
      </x:c>
      <x:c r="F406" s="60"/>
      <x:c r="G406" s="63"/>
      <x:c r="H406" s="63"/>
      <x:c r="I406" s="61"/>
      <x:c r="J406" s="64" t="str">
        <x:f>IF(OR(I406="",X406=""),"",IFERROR(DATEDIF(I406,X406,"m")/12,""))</x:f>
      </x:c>
      <x:c r="K406" s="60" t="str">
        <x:v>43 PHILBEACH GARDENS, LONDON, SW5 9EB</x:v>
      </x:c>
      <x:c r="L406" s="60" t="str">
        <x:v> SW5 9EB</x:v>
      </x:c>
      <x:c r="M406" s="60"/>
      <x:c r="N406" s="60" t="str">
        <x:v>SW5 9EB</x:v>
      </x:c>
      <x:c r="O406" s="61"/>
      <x:c r="P406" s="64" t="str">
        <x:f>IF(OR(O406="",I406=""),"",IFERROR(DATEDIF(O406,I406,"m")/12,""))</x:f>
      </x:c>
      <x:c r="Q406" s="60"/>
      <x:c r="R406" s="61"/>
      <x:c r="S406" s="64" t="str">
        <x:f>IF(OR(R406="",X406=""),"",IFERROR(DATEDIF(R406,X406,"m")/12,""))</x:f>
      </x:c>
      <x:c r="T406" s="60"/>
      <x:c r="U406" s="60"/>
      <x:c r="V406" s="60"/>
      <x:c r="W406" s="63"/>
      <x:c r="X406" s="65" t="n">
        <x:f>TODAY()</x:f>
        <x:v>46250</x:v>
      </x:c>
    </x:row>
    <x:row r="407">
      <x:c r="A407" s="59" t="str">
        <x:v>LAWSON</x:v>
      </x:c>
      <x:c r="B407" s="60" t="str">
        <x:v>HENRY-LANCE</x:v>
      </x:c>
      <x:c r="C407" s="60" t="str">
        <x:v>MILAN CHRISTOPHER</x:v>
      </x:c>
      <x:c r="D407" s="61" t="n">
        <x:v>31585.5</x:v>
      </x:c>
      <x:c r="E407" s="62" t="n">
        <x:f>IF(OR(D407="",X407=""),"",IFERROR(DATEDIF(D407,X407,"y"),""))</x:f>
        <x:v>40</x:v>
      </x:c>
      <x:c r="F407" s="60" t="str">
        <x:v>VILLAUME</x:v>
      </x:c>
      <x:c r="G407" s="63"/>
      <x:c r="H407" s="63"/>
      <x:c r="I407" s="61"/>
      <x:c r="J407" s="64" t="str">
        <x:f>IF(OR(I407="",X407=""),"",IFERROR(DATEDIF(I407,X407,"m")/12,""))</x:f>
      </x:c>
      <x:c r="K407" s="60" t="str">
        <x:v>FLAT 1, 73 -74 QUEEN'S GATE, LONDON, SW7 SJT</x:v>
      </x:c>
      <x:c r="L407" s="60" t="str">
        <x:v> SW7 SJT</x:v>
      </x:c>
      <x:c r="M407" s="60"/>
      <x:c r="N407" s="60" t="str">
        <x:v>SW7 SJT</x:v>
      </x:c>
      <x:c r="O407" s="61"/>
      <x:c r="P407" s="64" t="str">
        <x:f>IF(OR(O407="",I407=""),"",IFERROR(DATEDIF(O407,I407,"m")/12,""))</x:f>
      </x:c>
      <x:c r="Q407" s="60" t="str">
        <x:v>1 FLAT A WORCESTER GARDENS, LONDON, ENGLAND, SW11 6LR</x:v>
      </x:c>
      <x:c r="R407" s="61"/>
      <x:c r="S407" s="64" t="str">
        <x:f>IF(OR(R407="",X407=""),"",IFERROR(DATEDIF(R407,X407,"m")/12,""))</x:f>
      </x:c>
      <x:c r="T407" s="60"/>
      <x:c r="U407" s="60"/>
      <x:c r="V407" s="60"/>
      <x:c r="W407" s="63"/>
      <x:c r="X407" s="65" t="n">
        <x:f>TODAY()</x:f>
        <x:v>46250</x:v>
      </x:c>
    </x:row>
    <x:row r="408">
      <x:c r="A408" s="59" t="str">
        <x:v>LAZARIDI</x:v>
      </x:c>
      <x:c r="B408" s="60" t="str">
        <x:v>ANNA</x:v>
      </x:c>
      <x:c r="C408" s="60"/>
      <x:c r="D408" s="61" t="n">
        <x:v>20225.5</x:v>
      </x:c>
      <x:c r="E408" s="62" t="n">
        <x:f>IF(OR(D408="",X408=""),"",IFERROR(DATEDIF(D408,X408,"y"),""))</x:f>
        <x:v>71</x:v>
      </x:c>
      <x:c r="F408" s="60"/>
      <x:c r="G408" s="63" t="str">
        <x:v>07495367042</x:v>
      </x:c>
      <x:c r="H408" s="63"/>
      <x:c r="I408" s="61" t="n">
        <x:v>43221.5</x:v>
      </x:c>
      <x:c r="J408" s="64" t="n">
        <x:f>IF(OR(I408="",X408=""),"",IFERROR(DATEDIF(I408,X408,"m")/12,""))</x:f>
        <x:v>8.25</x:v>
      </x:c>
      <x:c r="K408" s="60" t="str">
        <x:v>FLAT E, 290-294 LATIMER ROAD, W10 6QW</x:v>
      </x:c>
      <x:c r="L408" s="60"/>
      <x:c r="M408" s="60"/>
      <x:c r="N408" s="60"/>
      <x:c r="O408" s="61"/>
      <x:c r="P408" s="64" t="str">
        <x:f>IF(OR(O408="",I408=""),"",IFERROR(DATEDIF(O408,I408,"m")/12,""))</x:f>
      </x:c>
      <x:c r="Q408" s="60"/>
      <x:c r="R408" s="61" t="n">
        <x:v>40787.5</x:v>
      </x:c>
      <x:c r="S408" s="64" t="n">
        <x:f>IF(OR(R408="",X408=""),"",IFERROR(DATEDIF(R408,X408,"m")/12,""))</x:f>
        <x:v>14.916666666666666</x:v>
      </x:c>
      <x:c r="T408" s="60" t="str">
        <x:v>COMPANY DIRECTOR</x:v>
      </x:c>
      <x:c r="U408" s="60" t="str">
        <x:v>ALL ABOUT SHIPPINNG</x:v>
      </x:c>
      <x:c r="V408" s="60" t="str">
        <x:v>13 GATEWAY MEWS, BOUNDS GREEN, LONDON, N11 2UT</x:v>
      </x:c>
      <x:c r="W408" s="63"/>
      <x:c r="X408" s="65" t="n">
        <x:f>TODAY()</x:f>
        <x:v>46250</x:v>
      </x:c>
    </x:row>
    <x:row r="409">
      <x:c r="A409" s="59" t="str">
        <x:v>LECOUR</x:v>
      </x:c>
      <x:c r="B409" s="60" t="str">
        <x:v>PABLO</x:v>
      </x:c>
      <x:c r="C409" s="60" t="str">
        <x:v>AUGUSTINE</x:v>
      </x:c>
      <x:c r="D409" s="61" t="n">
        <x:v>28901.5</x:v>
      </x:c>
      <x:c r="E409" s="62" t="n">
        <x:f>IF(OR(D409="",X409=""),"",IFERROR(DATEDIF(D409,X409,"y"),""))</x:f>
        <x:v>47</x:v>
      </x:c>
      <x:c r="F409" s="60"/>
      <x:c r="G409" s="63"/>
      <x:c r="H409" s="63"/>
      <x:c r="I409" s="61"/>
      <x:c r="J409" s="64" t="str">
        <x:f>IF(OR(I409="",X409=""),"",IFERROR(DATEDIF(I409,X409,"m")/12,""))</x:f>
      </x:c>
      <x:c r="K409" s="60" t="str">
        <x:v>FLAT 719, 165 CROMWELL ROAD, LONDON, SW5 0SQ</x:v>
      </x:c>
      <x:c r="L409" s="60" t="str">
        <x:v> SW5 0SQ</x:v>
      </x:c>
      <x:c r="M409" s="60"/>
      <x:c r="N409" s="60" t="str">
        <x:v>SW5 0SQ</x:v>
      </x:c>
      <x:c r="O409" s="61"/>
      <x:c r="P409" s="64" t="str">
        <x:f>IF(OR(O409="",I409=""),"",IFERROR(DATEDIF(O409,I409,"m")/12,""))</x:f>
      </x:c>
      <x:c r="Q409" s="60" t="str">
        <x:v>FLAT 807, POINT WEST, 116, CROMWELL ROAD, LONDON, LONDON, SW7 4XJ</x:v>
      </x:c>
      <x:c r="R409" s="61"/>
      <x:c r="S409" s="64" t="str">
        <x:f>IF(OR(R409="",X409=""),"",IFERROR(DATEDIF(R409,X409,"m")/12,""))</x:f>
      </x:c>
      <x:c r="T409" s="60"/>
      <x:c r="U409" s="60"/>
      <x:c r="V409" s="60"/>
      <x:c r="W409" s="63"/>
      <x:c r="X409" s="65" t="n">
        <x:f>TODAY()</x:f>
        <x:v>46250</x:v>
      </x:c>
    </x:row>
    <x:row r="410">
      <x:c r="A410" s="59" t="str">
        <x:v>LEEVES</x:v>
      </x:c>
      <x:c r="B410" s="60" t="str">
        <x:v>ELEANOR</x:v>
      </x:c>
      <x:c r="C410" s="60"/>
      <x:c r="D410" s="61" t="n">
        <x:v>35982.5</x:v>
      </x:c>
      <x:c r="E410" s="62" t="n">
        <x:f>IF(OR(D410="",X410=""),"",IFERROR(DATEDIF(D410,X410,"y"),""))</x:f>
        <x:v>28</x:v>
      </x:c>
      <x:c r="F410" s="60"/>
      <x:c r="G410" s="63"/>
      <x:c r="H410" s="63"/>
      <x:c r="I410" s="61"/>
      <x:c r="J410" s="64" t="str">
        <x:f>IF(OR(I410="",X410=""),"",IFERROR(DATEDIF(I410,X410,"m")/12,""))</x:f>
      </x:c>
      <x:c r="K410" s="60" t="str">
        <x:v>FLAT 8, 92 WESTBOURNE LONDON, W2 6QE</x:v>
      </x:c>
      <x:c r="L410" s="60" t="str">
        <x:v> W2 6QE</x:v>
      </x:c>
      <x:c r="M410" s="60"/>
      <x:c r="N410" s="60" t="str">
        <x:v>W2 6QE</x:v>
      </x:c>
      <x:c r="O410" s="61"/>
      <x:c r="P410" s="64" t="str">
        <x:f>IF(OR(O410="",I410=""),"",IFERROR(DATEDIF(O410,I410,"m")/12,""))</x:f>
      </x:c>
      <x:c r="Q410" s="60"/>
      <x:c r="R410" s="61"/>
      <x:c r="S410" s="64" t="str">
        <x:f>IF(OR(R410="",X410=""),"",IFERROR(DATEDIF(R410,X410,"m")/12,""))</x:f>
      </x:c>
      <x:c r="T410" s="60"/>
      <x:c r="U410" s="60"/>
      <x:c r="V410" s="60"/>
      <x:c r="W410" s="63"/>
      <x:c r="X410" s="65" t="n">
        <x:f>TODAY()</x:f>
        <x:v>46250</x:v>
      </x:c>
    </x:row>
    <x:row r="411">
      <x:c r="A411" s="59" t="str">
        <x:v>LEFEBVRE</x:v>
      </x:c>
      <x:c r="B411" s="60" t="str">
        <x:v>JOCELYN</x:v>
      </x:c>
      <x:c r="C411" s="60"/>
      <x:c r="D411" s="61" t="n">
        <x:v>21176.5</x:v>
      </x:c>
      <x:c r="E411" s="62" t="n">
        <x:f>IF(OR(D411="",X411=""),"",IFERROR(DATEDIF(D411,X411,"y"),""))</x:f>
        <x:v>68</x:v>
      </x:c>
      <x:c r="F411" s="60" t="str">
        <x:v>LEFEBVRE</x:v>
      </x:c>
      <x:c r="G411" s="63" t="str">
        <x:v>07526800313</x:v>
      </x:c>
      <x:c r="H411" s="63"/>
      <x:c r="I411" s="61" t="n">
        <x:v>45627.5</x:v>
      </x:c>
      <x:c r="J411" s="64" t="n">
        <x:f>IF(OR(I411="",X411=""),"",IFERROR(DATEDIF(I411,X411,"m")/12,""))</x:f>
        <x:v>1.6666666666666667</x:v>
      </x:c>
      <x:c r="K411" s="60" t="str">
        <x:v>FLAT 9, 21-22 PRINCE OF WALES TERRACE, LONDON, W8 5PQ</x:v>
      </x:c>
      <x:c r="L411" s="60" t="str">
        <x:v> W8 5PQ</x:v>
      </x:c>
      <x:c r="M411" s="60"/>
      <x:c r="N411" s="60" t="str">
        <x:v>W8 5PQ</x:v>
      </x:c>
      <x:c r="O411" s="61" t="n">
        <x:v>44317.5</x:v>
      </x:c>
      <x:c r="P411" s="64" t="n">
        <x:f>IF(OR(O411="",I411=""),"",IFERROR(DATEDIF(O411,I411,"m")/12,""))</x:f>
        <x:v>3.5833333333333335</x:v>
      </x:c>
      <x:c r="Q411" s="60" t="str">
        <x:v>FLAT 40, 6 CAMPDEN HILL, LONDON, W8 7AD</x:v>
      </x:c>
      <x:c r="R411" s="61"/>
      <x:c r="S411" s="64" t="str">
        <x:f>IF(OR(R411="",X411=""),"",IFERROR(DATEDIF(R411,X411,"m")/12,""))</x:f>
      </x:c>
      <x:c r="T411" s="60"/>
      <x:c r="U411" s="60" t="str">
        <x:v>POWER CORPORATION CANADA</x:v>
      </x:c>
      <x:c r="V411" s="60"/>
      <x:c r="W411" s="63"/>
      <x:c r="X411" s="65" t="n">
        <x:f>TODAY()</x:f>
        <x:v>46250</x:v>
      </x:c>
    </x:row>
    <x:row r="412">
      <x:c r="A412" s="59" t="str">
        <x:v>LEFEBVRE</x:v>
      </x:c>
      <x:c r="B412" s="60" t="str">
        <x:v>JOCELYN</x:v>
      </x:c>
      <x:c r="C412" s="60"/>
      <x:c r="D412" s="61"/>
      <x:c r="E412" s="62" t="str">
        <x:f>IF(OR(D412="",X412=""),"",IFERROR(DATEDIF(D412,X412,"y"),""))</x:f>
      </x:c>
      <x:c r="F412" s="60"/>
      <x:c r="G412" s="63"/>
      <x:c r="H412" s="63"/>
      <x:c r="I412" s="61"/>
      <x:c r="J412" s="64" t="str">
        <x:f>IF(OR(I412="",X412=""),"",IFERROR(DATEDIF(I412,X412,"m")/12,""))</x:f>
      </x:c>
      <x:c r="K412" s="60" t="str">
        <x:v>21-22 PRINCE OF WALES TERRACE, FLAT 9, LONDON, W8 5PQ</x:v>
      </x:c>
      <x:c r="L412" s="60" t="str">
        <x:v> W8 5PQ</x:v>
      </x:c>
      <x:c r="M412" s="60"/>
      <x:c r="N412" s="60" t="str">
        <x:v>W8 5PQ</x:v>
      </x:c>
      <x:c r="O412" s="61"/>
      <x:c r="P412" s="64" t="str">
        <x:f>IF(OR(O412="",I412=""),"",IFERROR(DATEDIF(O412,I412,"m")/12,""))</x:f>
      </x:c>
      <x:c r="Q412" s="60"/>
      <x:c r="R412" s="61"/>
      <x:c r="S412" s="64" t="str">
        <x:f>IF(OR(R412="",X412=""),"",IFERROR(DATEDIF(R412,X412,"m")/12,""))</x:f>
      </x:c>
      <x:c r="T412" s="60"/>
      <x:c r="U412" s="60"/>
      <x:c r="V412" s="60"/>
      <x:c r="W412" s="63"/>
      <x:c r="X412" s="65" t="n">
        <x:f>TODAY()</x:f>
        <x:v>46250</x:v>
      </x:c>
    </x:row>
    <x:row r="413">
      <x:c r="A413" s="59" t="str">
        <x:v>LELEKA</x:v>
      </x:c>
      <x:c r="B413" s="60" t="str">
        <x:v>IHOR</x:v>
      </x:c>
      <x:c r="C413" s="60"/>
      <x:c r="D413" s="61" t="n">
        <x:v>34974.5</x:v>
      </x:c>
      <x:c r="E413" s="62" t="n">
        <x:f>IF(OR(D413="",X413=""),"",IFERROR(DATEDIF(D413,X413,"y"),""))</x:f>
        <x:v>30</x:v>
      </x:c>
      <x:c r="F413" s="60"/>
      <x:c r="G413" s="63"/>
      <x:c r="H413" s="63" t="str">
        <x:v>SW562533B</x:v>
      </x:c>
      <x:c r="I413" s="61"/>
      <x:c r="J413" s="64" t="str">
        <x:f>IF(OR(I413="",X413=""),"",IFERROR(DATEDIF(I413,X413,"m")/12,""))</x:f>
      </x:c>
      <x:c r="K413" s="60" t="str">
        <x:v>AMBASSADOR COURT, 17-19 CRAVEN TERRACE, FLAT 29, LONDON, W2 3QH</x:v>
      </x:c>
      <x:c r="L413" s="60" t="str">
        <x:v> W2 3QH</x:v>
      </x:c>
      <x:c r="M413" s="60"/>
      <x:c r="N413" s="60" t="str">
        <x:v>W2 3QH</x:v>
      </x:c>
      <x:c r="O413" s="61"/>
      <x:c r="P413" s="64" t="str">
        <x:f>IF(OR(O413="",I413=""),"",IFERROR(DATEDIF(O413,I413,"m")/12,""))</x:f>
      </x:c>
      <x:c r="Q413" s="60"/>
      <x:c r="R413" s="61"/>
      <x:c r="S413" s="64" t="str">
        <x:f>IF(OR(R413="",X413=""),"",IFERROR(DATEDIF(R413,X413,"m")/12,""))</x:f>
      </x:c>
      <x:c r="T413" s="60" t="str">
        <x:v>LEAD SOFTWARE ENGINEER</x:v>
      </x:c>
      <x:c r="U413" s="60" t="str">
        <x:v>EPAM SYSTEMS</x:v>
      </x:c>
      <x:c r="V413" s="60" t="str">
        <x:v>2 FINSBURY AVE, LONDON EC2M 2PG</x:v>
      </x:c>
      <x:c r="W413" s="63"/>
      <x:c r="X413" s="65" t="n">
        <x:f>TODAY()</x:f>
        <x:v>46250</x:v>
      </x:c>
    </x:row>
    <x:row r="414">
      <x:c r="A414" s="59" t="str">
        <x:v>LEMER</x:v>
      </x:c>
      <x:c r="B414" s="60" t="str">
        <x:v>JACOB</x:v>
      </x:c>
      <x:c r="C414" s="60" t="str">
        <x:v>WILLIAM</x:v>
      </x:c>
      <x:c r="D414" s="61" t="n">
        <x:v>31117.5</x:v>
      </x:c>
      <x:c r="E414" s="62" t="n">
        <x:f>IF(OR(D414="",X414=""),"",IFERROR(DATEDIF(D414,X414,"y"),""))</x:f>
        <x:v>41</x:v>
      </x:c>
      <x:c r="F414" s="60" t="str">
        <x:v>GARDINER</x:v>
      </x:c>
      <x:c r="G414" s="63" t="str">
        <x:v>07506114490</x:v>
      </x:c>
      <x:c r="H414" s="63" t="str">
        <x:v>JM029257B</x:v>
      </x:c>
      <x:c r="I414" s="61" t="n">
        <x:v>43709.5</x:v>
      </x:c>
      <x:c r="J414" s="64" t="n">
        <x:f>IF(OR(I414="",X414=""),"",IFERROR(DATEDIF(I414,X414,"m")/12,""))</x:f>
        <x:v>6.916666666666667</x:v>
      </x:c>
      <x:c r="K414" s="60" t="str">
        <x:v>FLAT 3, 59 BONDWAY, LONDON, SW8 1SJ</x:v>
      </x:c>
      <x:c r="L414" s="60" t="str">
        <x:v> SW8 1SJ</x:v>
      </x:c>
      <x:c r="M414" s="60"/>
      <x:c r="N414" s="60" t="str">
        <x:v>SW8 1SJ</x:v>
      </x:c>
      <x:c r="O414" s="61" t="n">
        <x:v>42917.5</x:v>
      </x:c>
      <x:c r="P414" s="64" t="n">
        <x:f>IF(OR(O414="",I414=""),"",IFERROR(DATEDIF(O414,I414,"m")/12,""))</x:f>
        <x:v>2.1666666666666665</x:v>
      </x:c>
      <x:c r="Q414" s="60" t="str">
        <x:v>4 WAVENEY CLOSE, LONDON, E1W 2JL</x:v>
      </x:c>
      <x:c r="R414" s="61" t="n">
        <x:v>43191.5</x:v>
      </x:c>
      <x:c r="S414" s="64" t="n">
        <x:f>IF(OR(R414="",X414=""),"",IFERROR(DATEDIF(R414,X414,"m")/12,""))</x:f>
        <x:v>8.333333333333334</x:v>
      </x:c>
      <x:c r="T414" s="60" t="str">
        <x:v>MANAGER</x:v>
      </x:c>
      <x:c r="U414" s="60" t="str">
        <x:v>CLARION GAMING</x:v>
      </x:c>
      <x:c r="V414" s="60" t="str">
        <x:v>HOUSE, 69-79 FULHAM HIGH STREET BEDFORD, LONDON SW6 3JW</x:v>
      </x:c>
      <x:c r="W414" s="63" t="str">
        <x:v>020 7384 8384</x:v>
      </x:c>
      <x:c r="X414" s="65" t="n">
        <x:f>TODAY()</x:f>
        <x:v>46250</x:v>
      </x:c>
    </x:row>
    <x:row r="415">
      <x:c r="A415" s="59" t="str">
        <x:v>LENCZNER</x:v>
      </x:c>
      <x:c r="B415" s="60" t="str">
        <x:v>EDWARD</x:v>
      </x:c>
      <x:c r="C415" s="60" t="str">
        <x:v>ALISTAIR ROSS</x:v>
      </x:c>
      <x:c r="D415" s="61" t="n">
        <x:v>21603.5</x:v>
      </x:c>
      <x:c r="E415" s="62" t="n">
        <x:f>IF(OR(D415="",X415=""),"",IFERROR(DATEDIF(D415,X415,"y"),""))</x:f>
        <x:v>67</x:v>
      </x:c>
      <x:c r="F415" s="60" t="str">
        <x:v>THOM</x:v>
      </x:c>
      <x:c r="G415" s="63"/>
      <x:c r="H415" s="63"/>
      <x:c r="I415" s="61" t="n">
        <x:v>34851.5</x:v>
      </x:c>
      <x:c r="J415" s="64" t="n">
        <x:f>IF(OR(I415="",X415=""),"",IFERROR(DATEDIF(I415,X415,"m")/12,""))</x:f>
        <x:v>31.166666666666668</x:v>
      </x:c>
      <x:c r="K415" s="60" t="str">
        <x:v>FLAT 3, 52, CLAPHAM COMMON SOUTH SIDE, LONDON, LONDON, SW4 9BX</x:v>
      </x:c>
      <x:c r="L415" s="60" t="str">
        <x:v> LONDON, SW4 9BX</x:v>
      </x:c>
      <x:c r="M415" s="60"/>
      <x:c r="N415" s="60" t="str">
        <x:v> SW4 9BX</x:v>
      </x:c>
      <x:c r="O415" s="61" t="n">
        <x:v>1.5</x:v>
      </x:c>
      <x:c r="P415" s="64" t="n">
        <x:f>IF(OR(O415="",I415=""),"",IFERROR(DATEDIF(O415,I415,"m")/12,""))</x:f>
        <x:v>95.41666666666667</x:v>
      </x:c>
      <x:c r="Q415" s="60"/>
      <x:c r="R415" s="61"/>
      <x:c r="S415" s="64" t="str">
        <x:f>IF(OR(R415="",X415=""),"",IFERROR(DATEDIF(R415,X415,"m")/12,""))</x:f>
      </x:c>
      <x:c r="T415" s="60"/>
      <x:c r="U415" s="60"/>
      <x:c r="V415" s="60"/>
      <x:c r="W415" s="63"/>
      <x:c r="X415" s="65" t="n">
        <x:f>TODAY()</x:f>
        <x:v>46250</x:v>
      </x:c>
    </x:row>
    <x:row r="416">
      <x:c r="A416" s="59" t="str">
        <x:v>LENNARD</x:v>
      </x:c>
      <x:c r="B416" s="60" t="str">
        <x:v>JASMINE</x:v>
      </x:c>
      <x:c r="C416" s="60"/>
      <x:c r="D416" s="61" t="n">
        <x:v>31254.5</x:v>
      </x:c>
      <x:c r="E416" s="62" t="n">
        <x:f>IF(OR(D416="",X416=""),"",IFERROR(DATEDIF(D416,X416,"y"),""))</x:f>
        <x:v>41</x:v>
      </x:c>
      <x:c r="F416" s="60" t="str">
        <x:v>GALSWORTHY</x:v>
      </x:c>
      <x:c r="G416" s="63"/>
      <x:c r="H416" s="63"/>
      <x:c r="I416" s="61"/>
      <x:c r="J416" s="64" t="str">
        <x:f>IF(OR(I416="",X416=""),"",IFERROR(DATEDIF(I416,X416,"m")/12,""))</x:f>
      </x:c>
      <x:c r="K416" s="60"/>
      <x:c r="L416" s="60"/>
      <x:c r="M416" s="60"/>
      <x:c r="N416" s="60"/>
      <x:c r="O416" s="61"/>
      <x:c r="P416" s="64" t="str">
        <x:f>IF(OR(O416="",I416=""),"",IFERROR(DATEDIF(O416,I416,"m")/12,""))</x:f>
      </x:c>
      <x:c r="Q416" s="60"/>
      <x:c r="R416" s="61"/>
      <x:c r="S416" s="64" t="str">
        <x:f>IF(OR(R416="",X416=""),"",IFERROR(DATEDIF(R416,X416,"m")/12,""))</x:f>
      </x:c>
      <x:c r="T416" s="60"/>
      <x:c r="U416" s="60"/>
      <x:c r="V416" s="60"/>
      <x:c r="W416" s="63"/>
      <x:c r="X416" s="65" t="n">
        <x:f>TODAY()</x:f>
        <x:v>46250</x:v>
      </x:c>
    </x:row>
    <x:row r="417">
      <x:c r="A417" s="59" t="str">
        <x:v>LEVIN</x:v>
      </x:c>
      <x:c r="B417" s="60" t="str">
        <x:v>KATRINE</x:v>
      </x:c>
      <x:c r="C417" s="60" t="str">
        <x:v>ALEXANDRA</x:v>
      </x:c>
      <x:c r="D417" s="61" t="n">
        <x:v>25583.5</x:v>
      </x:c>
      <x:c r="E417" s="62" t="n">
        <x:f>IF(OR(D417="",X417=""),"",IFERROR(DATEDIF(D417,X417,"y"),""))</x:f>
        <x:v>56</x:v>
      </x:c>
      <x:c r="F417" s="60"/>
      <x:c r="G417" s="63" t="str">
        <x:v>07936971423</x:v>
      </x:c>
      <x:c r="H417" s="63"/>
      <x:c r="I417" s="61" t="n">
        <x:v>42125.5</x:v>
      </x:c>
      <x:c r="J417" s="64" t="n">
        <x:f>IF(OR(I417="",X417=""),"",IFERROR(DATEDIF(I417,X417,"m")/12,""))</x:f>
        <x:v>11.25</x:v>
      </x:c>
      <x:c r="K417" s="60" t="str">
        <x:v>FLAT 5, 29 CORNWALL GARDENS, LONDON, SW7 4AP</x:v>
      </x:c>
      <x:c r="L417" s="60" t="str">
        <x:v> SW7 4AP</x:v>
      </x:c>
      <x:c r="M417" s="60"/>
      <x:c r="N417" s="60" t="str">
        <x:v>SW7 4AP</x:v>
      </x:c>
      <x:c r="O417" s="61"/>
      <x:c r="P417" s="64" t="str">
        <x:f>IF(OR(O417="",I417=""),"",IFERROR(DATEDIF(O417,I417,"m")/12,""))</x:f>
      </x:c>
      <x:c r="Q417" s="60"/>
      <x:c r="R417" s="61"/>
      <x:c r="S417" s="64" t="str">
        <x:f>IF(OR(R417="",X417=""),"",IFERROR(DATEDIF(R417,X417,"m")/12,""))</x:f>
      </x:c>
      <x:c r="T417" s="60"/>
      <x:c r="U417" s="60"/>
      <x:c r="V417" s="60"/>
      <x:c r="W417" s="63"/>
      <x:c r="X417" s="65" t="n">
        <x:f>TODAY()</x:f>
        <x:v>46250</x:v>
      </x:c>
    </x:row>
    <x:row r="418">
      <x:c r="A418" s="59" t="str">
        <x:v>LEWIN</x:v>
      </x:c>
      <x:c r="B418" s="60" t="str">
        <x:v>DAVID</x:v>
      </x:c>
      <x:c r="C418" s="60" t="str">
        <x:v>IAN</x:v>
      </x:c>
      <x:c r="D418" s="61" t="n">
        <x:v>19119.5</x:v>
      </x:c>
      <x:c r="E418" s="62" t="n">
        <x:f>IF(OR(D418="",X418=""),"",IFERROR(DATEDIF(D418,X418,"y"),""))</x:f>
        <x:v>74</x:v>
      </x:c>
      <x:c r="F418" s="60" t="str">
        <x:v>LEVENE</x:v>
      </x:c>
      <x:c r="G418" s="63"/>
      <x:c r="H418" s="63"/>
      <x:c r="I418" s="61"/>
      <x:c r="J418" s="64" t="str">
        <x:f>IF(OR(I418="",X418=""),"",IFERROR(DATEDIF(I418,X418,"m")/12,""))</x:f>
      </x:c>
      <x:c r="K418" s="60" t="str">
        <x:v>MEAD COURT, 52 SOUTH MOLTON STREET, LONDON, W1K 5SE</x:v>
      </x:c>
      <x:c r="L418" s="60" t="str">
        <x:v> W1K 5SE</x:v>
      </x:c>
      <x:c r="M418" s="60"/>
      <x:c r="N418" s="60" t="str">
        <x:v>W1K 5SE</x:v>
      </x:c>
      <x:c r="O418" s="61"/>
      <x:c r="P418" s="64" t="str">
        <x:f>IF(OR(O418="",I418=""),"",IFERROR(DATEDIF(O418,I418,"m")/12,""))</x:f>
      </x:c>
      <x:c r="Q418" s="60" t="str">
        <x:v>42 DARTMOUTH PARK ROAD, KENTISH TOWN, LONDON, NW5 1SX</x:v>
      </x:c>
      <x:c r="R418" s="61"/>
      <x:c r="S418" s="64" t="str">
        <x:f>IF(OR(R418="",X418=""),"",IFERROR(DATEDIF(R418,X418,"m")/12,""))</x:f>
      </x:c>
      <x:c r="T418" s="60"/>
      <x:c r="U418" s="60"/>
      <x:c r="V418" s="60"/>
      <x:c r="W418" s="63"/>
      <x:c r="X418" s="65" t="n">
        <x:f>TODAY()</x:f>
        <x:v>46250</x:v>
      </x:c>
    </x:row>
    <x:row r="419">
      <x:c r="A419" s="59" t="str">
        <x:v>LEWIN</x:v>
      </x:c>
      <x:c r="B419" s="60" t="str">
        <x:v>HENRY</x:v>
      </x:c>
      <x:c r="C419" s="60"/>
      <x:c r="D419" s="61" t="n">
        <x:v>33702.5</x:v>
      </x:c>
      <x:c r="E419" s="62" t="n">
        <x:f>IF(OR(D419="",X419=""),"",IFERROR(DATEDIF(D419,X419,"y"),""))</x:f>
        <x:v>34</x:v>
      </x:c>
      <x:c r="F419" s="60"/>
      <x:c r="G419" s="63"/>
      <x:c r="H419" s="63"/>
      <x:c r="I419" s="61"/>
      <x:c r="J419" s="64" t="str">
        <x:f>IF(OR(I419="",X419=""),"",IFERROR(DATEDIF(I419,X419,"m")/12,""))</x:f>
      </x:c>
      <x:c r="K419" s="60" t="str">
        <x:v>6A NEW KINGS ROAD, LONDON SW5 4SA</x:v>
      </x:c>
      <x:c r="L419" s="60"/>
      <x:c r="M419" s="60"/>
      <x:c r="N419" s="60"/>
      <x:c r="O419" s="61"/>
      <x:c r="P419" s="64" t="str">
        <x:f>IF(OR(O419="",I419=""),"",IFERROR(DATEDIF(O419,I419,"m")/12,""))</x:f>
      </x:c>
      <x:c r="Q419" s="60"/>
      <x:c r="R419" s="61"/>
      <x:c r="S419" s="64" t="str">
        <x:f>IF(OR(R419="",X419=""),"",IFERROR(DATEDIF(R419,X419,"m")/12,""))</x:f>
      </x:c>
      <x:c r="T419" s="60"/>
      <x:c r="U419" s="60"/>
      <x:c r="V419" s="60"/>
      <x:c r="W419" s="63"/>
      <x:c r="X419" s="65" t="n">
        <x:f>TODAY()</x:f>
        <x:v>46250</x:v>
      </x:c>
    </x:row>
    <x:row r="420">
      <x:c r="A420" s="59" t="str">
        <x:v>LIAN</x:v>
      </x:c>
      <x:c r="B420" s="60" t="str">
        <x:v>MAGNUS</x:v>
      </x:c>
      <x:c r="C420" s="60" t="str">
        <x:v>LYSHOLM</x:v>
      </x:c>
      <x:c r="D420" s="61" t="n">
        <x:v>34398.5</x:v>
      </x:c>
      <x:c r="E420" s="62" t="n">
        <x:f>IF(OR(D420="",X420=""),"",IFERROR(DATEDIF(D420,X420,"y"),""))</x:f>
        <x:v>32</x:v>
      </x:c>
      <x:c r="F420" s="60"/>
      <x:c r="G420" s="63"/>
      <x:c r="H420" s="63"/>
      <x:c r="I420" s="61" t="n">
        <x:v>43983.5</x:v>
      </x:c>
      <x:c r="J420" s="64" t="n">
        <x:f>IF(OR(I420="",X420=""),"",IFERROR(DATEDIF(I420,X420,"m")/12,""))</x:f>
        <x:v>6.166666666666667</x:v>
      </x:c>
      <x:c r="K420" s="60" t="str">
        <x:v>52 QUEEN'S GATE GARDENS, LONDON, SW75NF</x:v>
      </x:c>
      <x:c r="L420" s="60" t="str">
        <x:v> SW75NF</x:v>
      </x:c>
      <x:c r="M420" s="60"/>
      <x:c r="N420" s="60" t="str">
        <x:v>SW75NF</x:v>
      </x:c>
      <x:c r="O420" s="61"/>
      <x:c r="P420" s="64" t="str">
        <x:f>IF(OR(O420="",I420=""),"",IFERROR(DATEDIF(O420,I420,"m")/12,""))</x:f>
      </x:c>
      <x:c r="Q420" s="60"/>
      <x:c r="R420" s="61" t="n">
        <x:v>44044.5</x:v>
      </x:c>
      <x:c r="S420" s="64" t="n">
        <x:f>IF(OR(R420="",X420=""),"",IFERROR(DATEDIF(R420,X420,"m")/12,""))</x:f>
        <x:v>6</x:v>
      </x:c>
      <x:c r="T420" s="60" t="str">
        <x:v>INVESTMENT BANKER</x:v>
      </x:c>
      <x:c r="U420" s="60" t="str">
        <x:v>PARETO SECURITIES</x:v>
      </x:c>
      <x:c r="V420" s="60" t="str">
        <x:v>11 BERKELEY ST, LONDON W1J 8DS</x:v>
      </x:c>
      <x:c r="W420" s="63" t="str">
        <x:v>02077864370</x:v>
      </x:c>
      <x:c r="X420" s="65" t="n">
        <x:f>TODAY()</x:f>
        <x:v>46250</x:v>
      </x:c>
    </x:row>
    <x:row r="421">
      <x:c r="A421" s="59" t="str">
        <x:v>LICURGO</x:v>
      </x:c>
      <x:c r="B421" s="60" t="str">
        <x:v>ROBERTA</x:v>
      </x:c>
      <x:c r="C421" s="60"/>
      <x:c r="D421" s="61" t="n">
        <x:v>22851.5</x:v>
      </x:c>
      <x:c r="E421" s="62" t="n">
        <x:f>IF(OR(D421="",X421=""),"",IFERROR(DATEDIF(D421,X421,"y"),""))</x:f>
        <x:v>64</x:v>
      </x:c>
      <x:c r="F421" s="60" t="str">
        <x:v>LICURGO</x:v>
      </x:c>
      <x:c r="G421" s="63"/>
      <x:c r="H421" s="63"/>
      <x:c r="I421" s="61" t="n">
        <x:v>45568.5</x:v>
      </x:c>
      <x:c r="J421" s="64" t="n">
        <x:f>IF(OR(I421="",X421=""),"",IFERROR(DATEDIF(I421,X421,"m")/12,""))</x:f>
        <x:v>1.8333333333333333</x:v>
      </x:c>
      <x:c r="K421" s="60" t="str">
        <x:v>2 CLANRICARDE GARDENS, LONDON, W2 4NA</x:v>
      </x:c>
      <x:c r="L421" s="60" t="str">
        <x:v> W2 4NA</x:v>
      </x:c>
      <x:c r="M421" s="60"/>
      <x:c r="N421" s="60" t="str">
        <x:v>W2 4NA</x:v>
      </x:c>
      <x:c r="O421" s="61"/>
      <x:c r="P421" s="64" t="str">
        <x:f>IF(OR(O421="",I421=""),"",IFERROR(DATEDIF(O421,I421,"m")/12,""))</x:f>
      </x:c>
      <x:c r="Q421" s="60"/>
      <x:c r="R421" s="61" t="n">
        <x:v>38473.5</x:v>
      </x:c>
      <x:c r="S421" s="64" t="n">
        <x:f>IF(OR(R421="",X421=""),"",IFERROR(DATEDIF(R421,X421,"m")/12,""))</x:f>
        <x:v>21.25</x:v>
      </x:c>
      <x:c r="T421" s="60"/>
      <x:c r="U421" s="60"/>
      <x:c r="V421" s="60"/>
      <x:c r="W421" s="63"/>
      <x:c r="X421" s="65" t="n">
        <x:f>TODAY()</x:f>
        <x:v>46250</x:v>
      </x:c>
    </x:row>
    <x:row r="422">
      <x:c r="A422" s="59" t="str">
        <x:v>LIEF</x:v>
      </x:c>
      <x:c r="B422" s="60" t="str">
        <x:v>MATHIEU</x:v>
      </x:c>
      <x:c r="C422" s="60" t="str">
        <x:v>OLIVER LOUIS</x:v>
      </x:c>
      <x:c r="D422" s="61" t="n">
        <x:v>27721.5</x:v>
      </x:c>
      <x:c r="E422" s="62" t="n">
        <x:f>IF(OR(D422="",X422=""),"",IFERROR(DATEDIF(D422,X422,"y"),""))</x:f>
        <x:v>50</x:v>
      </x:c>
      <x:c r="F422" s="60" t="str">
        <x:v>LIEF</x:v>
      </x:c>
      <x:c r="G422" s="63" t="str">
        <x:v>07467183501</x:v>
      </x:c>
      <x:c r="H422" s="63"/>
      <x:c r="I422" s="61" t="n">
        <x:v>42217.5</x:v>
      </x:c>
      <x:c r="J422" s="64" t="n">
        <x:f>IF(OR(I422="",X422=""),"",IFERROR(DATEDIF(I422,X422,"m")/12,""))</x:f>
        <x:v>11</x:v>
      </x:c>
      <x:c r="K422" s="60" t="str">
        <x:v>FLAT C, 19 EARLS COURT SQUARE, LONDON, SW5 9BY</x:v>
      </x:c>
      <x:c r="L422" s="60" t="str">
        <x:v> SW5 9BY</x:v>
      </x:c>
      <x:c r="M422" s="60"/>
      <x:c r="N422" s="60" t="str">
        <x:v>SW5 9BY</x:v>
      </x:c>
      <x:c r="O422" s="61"/>
      <x:c r="P422" s="64" t="str">
        <x:f>IF(OR(O422="",I422=""),"",IFERROR(DATEDIF(O422,I422,"m")/12,""))</x:f>
      </x:c>
      <x:c r="Q422" s="60"/>
      <x:c r="R422" s="61" t="n">
        <x:v>39234.5</x:v>
      </x:c>
      <x:c r="S422" s="64" t="n">
        <x:f>IF(OR(R422="",X422=""),"",IFERROR(DATEDIF(R422,X422,"m")/12,""))</x:f>
        <x:v>19.166666666666668</x:v>
      </x:c>
      <x:c r="T422" s="60" t="str">
        <x:v>TRANSACTION MANAGING DIRECTOR</x:v>
      </x:c>
      <x:c r="U422" s="60" t="str">
        <x:v>INFRACAPITAL</x:v>
      </x:c>
      <x:c r="V422" s="60" t="str">
        <x:v>10 FENCHURCH AVENUE​, LONDON​, EC3M 5AG​</x:v>
      </x:c>
      <x:c r="W422" s="63" t="str">
        <x:v>0208 162 3072</x:v>
      </x:c>
      <x:c r="X422" s="65" t="n">
        <x:f>TODAY()</x:f>
        <x:v>46250</x:v>
      </x:c>
    </x:row>
    <x:row r="423">
      <x:c r="A423" s="59" t="str">
        <x:v>LINDSAY</x:v>
      </x:c>
      <x:c r="B423" s="60" t="str">
        <x:v>RACHEL</x:v>
      </x:c>
      <x:c r="C423" s="60" t="str">
        <x:v>KATHERINE</x:v>
      </x:c>
      <x:c r="D423" s="61" t="n">
        <x:v>32295.5</x:v>
      </x:c>
      <x:c r="E423" s="62" t="n">
        <x:f>IF(OR(D423="",X423=""),"",IFERROR(DATEDIF(D423,X423,"y"),""))</x:f>
        <x:v>38</x:v>
      </x:c>
      <x:c r="F423" s="60"/>
      <x:c r="G423" s="63"/>
      <x:c r="H423" s="63"/>
      <x:c r="I423" s="61"/>
      <x:c r="J423" s="64" t="str">
        <x:f>IF(OR(I423="",X423=""),"",IFERROR(DATEDIF(I423,X423,"m")/12,""))</x:f>
      </x:c>
      <x:c r="K423" s="60" t="str">
        <x:v>FLAT 14, 55-57 GLOUCESTER ROAD, LONDON, SW7 4QN</x:v>
      </x:c>
      <x:c r="L423" s="60" t="str">
        <x:v> SW7 4QN</x:v>
      </x:c>
      <x:c r="M423" s="60"/>
      <x:c r="N423" s="60" t="str">
        <x:v>SW7 4QN</x:v>
      </x:c>
      <x:c r="O423" s="61"/>
      <x:c r="P423" s="64" t="str">
        <x:f>IF(OR(O423="",I423=""),"",IFERROR(DATEDIF(O423,I423,"m")/12,""))</x:f>
      </x:c>
      <x:c r="Q423" s="60"/>
      <x:c r="R423" s="61" t="n">
        <x:v>44805.5</x:v>
      </x:c>
      <x:c r="S423" s="64" t="n">
        <x:f>IF(OR(R423="",X423=""),"",IFERROR(DATEDIF(R423,X423,"m")/12,""))</x:f>
        <x:v>3.9166666666666665</x:v>
      </x:c>
      <x:c r="T423" s="60" t="str">
        <x:v>CONSULTANT</x:v>
      </x:c>
      <x:c r="U423" s="60" t="str">
        <x:v>DELOITTE</x:v>
      </x:c>
      <x:c r="V423" s="60" t="str">
        <x:v>2 NEW STREET SQUARE, LONDON, EC4A 3BZ</x:v>
      </x:c>
      <x:c r="W423" s="63" t="str">
        <x:v>020379363000</x:v>
      </x:c>
      <x:c r="X423" s="65" t="n">
        <x:f>TODAY()</x:f>
        <x:v>46250</x:v>
      </x:c>
    </x:row>
    <x:row r="424">
      <x:c r="A424" s="59" t="str">
        <x:v>LISNYANSKY</x:v>
      </x:c>
      <x:c r="B424" s="60" t="str">
        <x:v>DAVID</x:v>
      </x:c>
      <x:c r="C424" s="60"/>
      <x:c r="D424" s="61"/>
      <x:c r="E424" s="62" t="str">
        <x:f>IF(OR(D424="",X424=""),"",IFERROR(DATEDIF(D424,X424,"y"),""))</x:f>
      </x:c>
      <x:c r="F424" s="60"/>
      <x:c r="G424" s="63"/>
      <x:c r="H424" s="63"/>
      <x:c r="I424" s="61"/>
      <x:c r="J424" s="64" t="str">
        <x:f>IF(OR(I424="",X424=""),"",IFERROR(DATEDIF(I424,X424,"m")/12,""))</x:f>
      </x:c>
      <x:c r="K424" s="60" t="str">
        <x:v>FLAT 1, 75 BEAK STREET, LODNON, W1DF 9SS</x:v>
      </x:c>
      <x:c r="L424" s="60"/>
      <x:c r="M424" s="60"/>
      <x:c r="N424" s="60"/>
      <x:c r="O424" s="61"/>
      <x:c r="P424" s="64" t="str">
        <x:f>IF(OR(O424="",I424=""),"",IFERROR(DATEDIF(O424,I424,"m")/12,""))</x:f>
      </x:c>
      <x:c r="Q424" s="60"/>
      <x:c r="R424" s="61"/>
      <x:c r="S424" s="64" t="str">
        <x:f>IF(OR(R424="",X424=""),"",IFERROR(DATEDIF(R424,X424,"m")/12,""))</x:f>
      </x:c>
      <x:c r="T424" s="60"/>
      <x:c r="U424" s="60" t="str">
        <x:v>UBS BUSINESS SOLITIONS AG</x:v>
      </x:c>
      <x:c r="V424" s="60"/>
      <x:c r="W424" s="63"/>
      <x:c r="X424" s="65" t="n">
        <x:f>TODAY()</x:f>
        <x:v>46250</x:v>
      </x:c>
    </x:row>
    <x:row r="425">
      <x:c r="A425" s="59" t="str">
        <x:v>LISSMAN</x:v>
      </x:c>
      <x:c r="B425" s="60" t="str">
        <x:v>STEPHEN</x:v>
      </x:c>
      <x:c r="C425" s="60" t="str">
        <x:v>TREVOR</x:v>
      </x:c>
      <x:c r="D425" s="61" t="n">
        <x:v>25437.5</x:v>
      </x:c>
      <x:c r="E425" s="62" t="n">
        <x:f>IF(OR(D425="",X425=""),"",IFERROR(DATEDIF(D425,X425,"y"),""))</x:f>
        <x:v>56</x:v>
      </x:c>
      <x:c r="F425" s="60"/>
      <x:c r="G425" s="63"/>
      <x:c r="H425" s="63"/>
      <x:c r="I425" s="61" t="n">
        <x:v>41730.5</x:v>
      </x:c>
      <x:c r="J425" s="64" t="n">
        <x:f>IF(OR(I425="",X425=""),"",IFERROR(DATEDIF(I425,X425,"m")/12,""))</x:f>
        <x:v>12.333333333333334</x:v>
      </x:c>
      <x:c r="K425" s="60" t="str">
        <x:v>FLAT 4, 39-40 GLEBE PLACE, LONDON, SW3 5JH</x:v>
      </x:c>
      <x:c r="L425" s="60" t="str">
        <x:v> SW3 5JH</x:v>
      </x:c>
      <x:c r="M425" s="60"/>
      <x:c r="N425" s="60" t="str">
        <x:v>SW3 5JH</x:v>
      </x:c>
      <x:c r="O425" s="61"/>
      <x:c r="P425" s="64" t="str">
        <x:f>IF(OR(O425="",I425=""),"",IFERROR(DATEDIF(O425,I425,"m")/12,""))</x:f>
      </x:c>
      <x:c r="Q425" s="60"/>
      <x:c r="R425" s="61"/>
      <x:c r="S425" s="64" t="str">
        <x:f>IF(OR(R425="",X425=""),"",IFERROR(DATEDIF(R425,X425,"m")/12,""))</x:f>
      </x:c>
      <x:c r="T425" s="60"/>
      <x:c r="U425" s="60"/>
      <x:c r="V425" s="60"/>
      <x:c r="W425" s="63"/>
      <x:c r="X425" s="65" t="n">
        <x:f>TODAY()</x:f>
        <x:v>46250</x:v>
      </x:c>
    </x:row>
    <x:row r="426">
      <x:c r="A426" s="59" t="str">
        <x:v>LLOYD</x:v>
      </x:c>
      <x:c r="B426" s="60" t="str">
        <x:v>JONATHAN</x:v>
      </x:c>
      <x:c r="C426" s="60" t="str">
        <x:v>MARK</x:v>
      </x:c>
      <x:c r="D426" s="61" t="n">
        <x:v>24241.5</x:v>
      </x:c>
      <x:c r="E426" s="62" t="n">
        <x:f>IF(OR(D426="",X426=""),"",IFERROR(DATEDIF(D426,X426,"y"),""))</x:f>
        <x:v>60</x:v>
      </x:c>
      <x:c r="F426" s="60"/>
      <x:c r="G426" s="63"/>
      <x:c r="H426" s="63"/>
      <x:c r="I426" s="61"/>
      <x:c r="J426" s="64" t="str">
        <x:f>IF(OR(I426="",X426=""),"",IFERROR(DATEDIF(I426,X426,"m")/12,""))</x:f>
      </x:c>
      <x:c r="K426" s="60"/>
      <x:c r="L426" s="60"/>
      <x:c r="M426" s="60"/>
      <x:c r="N426" s="60"/>
      <x:c r="O426" s="61"/>
      <x:c r="P426" s="64" t="str">
        <x:f>IF(OR(O426="",I426=""),"",IFERROR(DATEDIF(O426,I426,"m")/12,""))</x:f>
      </x:c>
      <x:c r="Q426" s="60"/>
      <x:c r="R426" s="61"/>
      <x:c r="S426" s="64" t="str">
        <x:f>IF(OR(R426="",X426=""),"",IFERROR(DATEDIF(R426,X426,"m")/12,""))</x:f>
      </x:c>
      <x:c r="T426" s="60"/>
      <x:c r="U426" s="60"/>
      <x:c r="V426" s="60"/>
      <x:c r="W426" s="63"/>
      <x:c r="X426" s="65" t="n">
        <x:f>TODAY()</x:f>
        <x:v>46250</x:v>
      </x:c>
    </x:row>
    <x:row r="427">
      <x:c r="A427" s="59" t="str">
        <x:v>LOFISH</x:v>
      </x:c>
      <x:c r="B427" s="60" t="str">
        <x:v>DARIO</x:v>
      </x:c>
      <x:c r="C427" s="60"/>
      <x:c r="D427" s="61" t="n">
        <x:v>28880.5</x:v>
      </x:c>
      <x:c r="E427" s="62" t="n">
        <x:f>IF(OR(D427="",X427=""),"",IFERROR(DATEDIF(D427,X427,"y"),""))</x:f>
        <x:v>47</x:v>
      </x:c>
      <x:c r="F427" s="60"/>
      <x:c r="G427" s="63"/>
      <x:c r="H427" s="63"/>
      <x:c r="I427" s="61"/>
      <x:c r="J427" s="64" t="str">
        <x:f>IF(OR(I427="",X427=""),"",IFERROR(DATEDIF(I427,X427,"m")/12,""))</x:f>
      </x:c>
      <x:c r="K427" s="60" t="str">
        <x:v>92 WESTBOURNE TERRACE, LONDON, W2 6WE</x:v>
      </x:c>
      <x:c r="L427" s="60" t="str">
        <x:v> W2 6WE</x:v>
      </x:c>
      <x:c r="M427" s="60"/>
      <x:c r="N427" s="60" t="str">
        <x:v>W2 6WE</x:v>
      </x:c>
      <x:c r="O427" s="61"/>
      <x:c r="P427" s="64" t="str">
        <x:f>IF(OR(O427="",I427=""),"",IFERROR(DATEDIF(O427,I427,"m")/12,""))</x:f>
      </x:c>
      <x:c r="Q427" s="60"/>
      <x:c r="R427" s="61" t="n">
        <x:v>43709.5</x:v>
      </x:c>
      <x:c r="S427" s="64" t="n">
        <x:f>IF(OR(R427="",X427=""),"",IFERROR(DATEDIF(R427,X427,"m")/12,""))</x:f>
        <x:v>6.916666666666667</x:v>
      </x:c>
      <x:c r="T427" s="60" t="str">
        <x:v>CREATIVE LEAD</x:v>
      </x:c>
      <x:c r="U427" s="60" t="str">
        <x:v>INTUIT UK</x:v>
      </x:c>
      <x:c r="V427" s="60" t="str">
        <x:v>80 VICTORIA STREET, 5TH FLOOR, LONDON, ENGLAND SW1E 5JL, GB</x:v>
      </x:c>
      <x:c r="W427" s="63"/>
      <x:c r="X427" s="65" t="n">
        <x:f>TODAY()</x:f>
        <x:v>46250</x:v>
      </x:c>
    </x:row>
    <x:row r="428">
      <x:c r="A428" s="59" t="str">
        <x:v>LOMBARD</x:v>
      </x:c>
      <x:c r="B428" s="60" t="str">
        <x:v>JEROME</x:v>
      </x:c>
      <x:c r="C428" s="60" t="str">
        <x:v>ROBERT</x:v>
      </x:c>
      <x:c r="D428" s="61" t="n">
        <x:v>24057.5</x:v>
      </x:c>
      <x:c r="E428" s="62" t="n">
        <x:f>IF(OR(D428="",X428=""),"",IFERROR(DATEDIF(D428,X428,"y"),""))</x:f>
        <x:v>60</x:v>
      </x:c>
      <x:c r="F428" s="60"/>
      <x:c r="G428" s="63"/>
      <x:c r="H428" s="63"/>
      <x:c r="I428" s="61"/>
      <x:c r="J428" s="64" t="str">
        <x:f>IF(OR(I428="",X428=""),"",IFERROR(DATEDIF(I428,X428,"m")/12,""))</x:f>
      </x:c>
      <x:c r="K428" s="60" t="str">
        <x:v>FLAT A, 19-21 LANCASTER GATE, LONDON, W2 3LH</x:v>
      </x:c>
      <x:c r="L428" s="60" t="str">
        <x:v> W2 3LH</x:v>
      </x:c>
      <x:c r="M428" s="60"/>
      <x:c r="N428" s="60" t="str">
        <x:v>W2 3LH</x:v>
      </x:c>
      <x:c r="O428" s="61"/>
      <x:c r="P428" s="64" t="str">
        <x:f>IF(OR(O428="",I428=""),"",IFERROR(DATEDIF(O428,I428,"m")/12,""))</x:f>
      </x:c>
      <x:c r="Q428" s="60"/>
      <x:c r="R428" s="61"/>
      <x:c r="S428" s="64" t="str">
        <x:f>IF(OR(R428="",X428=""),"",IFERROR(DATEDIF(R428,X428,"m")/12,""))</x:f>
      </x:c>
      <x:c r="T428" s="60"/>
      <x:c r="U428" s="60"/>
      <x:c r="V428" s="60"/>
      <x:c r="W428" s="63"/>
      <x:c r="X428" s="65" t="n">
        <x:f>TODAY()</x:f>
        <x:v>46250</x:v>
      </x:c>
    </x:row>
    <x:row r="429">
      <x:c r="A429" s="59" t="str">
        <x:v>LOMBARDI</x:v>
      </x:c>
      <x:c r="B429" s="60" t="str">
        <x:v>ELIO</x:v>
      </x:c>
      <x:c r="C429" s="60"/>
      <x:c r="D429" s="61" t="n">
        <x:v>28521.5</x:v>
      </x:c>
      <x:c r="E429" s="62" t="n">
        <x:f>IF(OR(D429="",X429=""),"",IFERROR(DATEDIF(D429,X429,"y"),""))</x:f>
        <x:v>48</x:v>
      </x:c>
      <x:c r="F429" s="60"/>
      <x:c r="G429" s="63"/>
      <x:c r="H429" s="63"/>
      <x:c r="I429" s="61" t="n">
        <x:v>42217.5</x:v>
      </x:c>
      <x:c r="J429" s="64" t="n">
        <x:f>IF(OR(I429="",X429=""),"",IFERROR(DATEDIF(I429,X429,"m")/12,""))</x:f>
        <x:v>11</x:v>
      </x:c>
      <x:c r="K429" s="60" t="str">
        <x:v>FLAT 4, ST. JOHNS HOUSE, 366 NORTH END ROAD, LONDON, SW6 1LY</x:v>
      </x:c>
      <x:c r="L429" s="60" t="str">
        <x:v> SW6 1LY</x:v>
      </x:c>
      <x:c r="M429" s="60"/>
      <x:c r="N429" s="60" t="str">
        <x:v>SW6 1LY</x:v>
      </x:c>
      <x:c r="O429" s="61" t="n">
        <x:v>41426.5</x:v>
      </x:c>
      <x:c r="P429" s="64" t="n">
        <x:f>IF(OR(O429="",I429=""),"",IFERROR(DATEDIF(O429,I429,"m")/12,""))</x:f>
        <x:v>2.1666666666666665</x:v>
      </x:c>
      <x:c r="Q429" s="60" t="str">
        <x:v>1 EPIRUS MEWS, LONDON, SW6 7UP</x:v>
      </x:c>
      <x:c r="R429" s="61" t="n">
        <x:v>42217.5</x:v>
      </x:c>
      <x:c r="S429" s="64" t="n">
        <x:f>IF(OR(R429="",X429=""),"",IFERROR(DATEDIF(R429,X429,"m")/12,""))</x:f>
        <x:v>11</x:v>
      </x:c>
      <x:c r="T429" s="60" t="str">
        <x:v>PARTNER/SENIOR INVESTMENT ANALYST</x:v>
      </x:c>
      <x:c r="U429" s="60" t="str">
        <x:v>EVERETT CAPITAL ADVISORS</x:v>
      </x:c>
      <x:c r="V429" s="60" t="str">
        <x:v>112 JERMYN ST, ST. JAMES'S, LONDON SW1Y 6LS</x:v>
      </x:c>
      <x:c r="W429" s="63" t="str">
        <x:v>020 3230 3850</x:v>
      </x:c>
      <x:c r="X429" s="65" t="n">
        <x:f>TODAY()</x:f>
        <x:v>46250</x:v>
      </x:c>
    </x:row>
    <x:row r="430">
      <x:c r="A430" s="59" t="str">
        <x:v>LORD</x:v>
      </x:c>
      <x:c r="B430" s="60" t="str">
        <x:v>ARCHIE</x:v>
      </x:c>
      <x:c r="C430" s="60" t="str">
        <x:v>JOHN</x:v>
      </x:c>
      <x:c r="D430" s="61" t="n">
        <x:v>31275.5</x:v>
      </x:c>
      <x:c r="E430" s="62" t="n">
        <x:f>IF(OR(D430="",X430=""),"",IFERROR(DATEDIF(D430,X430,"y"),""))</x:f>
        <x:v>41</x:v>
      </x:c>
      <x:c r="F430" s="60"/>
      <x:c r="G430" s="63"/>
      <x:c r="H430" s="63"/>
      <x:c r="I430" s="61"/>
      <x:c r="J430" s="64" t="str">
        <x:f>IF(OR(I430="",X430=""),"",IFERROR(DATEDIF(I430,X430,"m")/12,""))</x:f>
      </x:c>
      <x:c r="K430" s="60" t="str">
        <x:v>FLAT A, 1 QUEENS GATE PLACE, LONDON, SW7 5NS</x:v>
      </x:c>
      <x:c r="L430" s="60" t="str">
        <x:v> SW7 5NS</x:v>
      </x:c>
      <x:c r="M430" s="60"/>
      <x:c r="N430" s="60" t="str">
        <x:v>SW7 5NS</x:v>
      </x:c>
      <x:c r="O430" s="61"/>
      <x:c r="P430" s="64" t="str">
        <x:f>IF(OR(O430="",I430=""),"",IFERROR(DATEDIF(O430,I430,"m")/12,""))</x:f>
      </x:c>
      <x:c r="Q430" s="60"/>
      <x:c r="R430" s="61"/>
      <x:c r="S430" s="64" t="str">
        <x:f>IF(OR(R430="",X430=""),"",IFERROR(DATEDIF(R430,X430,"m")/12,""))</x:f>
      </x:c>
      <x:c r="T430" s="60"/>
      <x:c r="U430" s="60" t="str">
        <x:v>MITHERIDGE CAPITAL MANAGEMENT LLP</x:v>
      </x:c>
      <x:c r="V430" s="60" t="str">
        <x:v>1 CHESTERFIELD STREET, LONDON, W1J 5JF</x:v>
      </x:c>
      <x:c r="W430" s="63" t="str">
        <x:v>020 3588 0500</x:v>
      </x:c>
      <x:c r="X430" s="65" t="n">
        <x:f>TODAY()</x:f>
        <x:v>46250</x:v>
      </x:c>
    </x:row>
    <x:row r="431">
      <x:c r="A431" s="59" t="str">
        <x:v>LOWE</x:v>
      </x:c>
      <x:c r="B431" s="60" t="str">
        <x:v>JUSTIN</x:v>
      </x:c>
      <x:c r="C431" s="60" t="str">
        <x:v>RAYMOND</x:v>
      </x:c>
      <x:c r="D431" s="61" t="n">
        <x:v>27453.5</x:v>
      </x:c>
      <x:c r="E431" s="62" t="n">
        <x:f>IF(OR(D431="",X431=""),"",IFERROR(DATEDIF(D431,X431,"y"),""))</x:f>
        <x:v>51</x:v>
      </x:c>
      <x:c r="F431" s="60"/>
      <x:c r="G431" s="63"/>
      <x:c r="H431" s="63"/>
      <x:c r="I431" s="61" t="n">
        <x:v>40299.5</x:v>
      </x:c>
      <x:c r="J431" s="64" t="n">
        <x:f>IF(OR(I431="",X431=""),"",IFERROR(DATEDIF(I431,X431,"m")/12,""))</x:f>
        <x:v>16.25</x:v>
      </x:c>
      <x:c r="K431" s="60" t="str">
        <x:v>FLAT 2, 82 BREWER STREET, LONDON, W1F 9UA</x:v>
      </x:c>
      <x:c r="L431" s="60" t="str">
        <x:v> W1F 9UA</x:v>
      </x:c>
      <x:c r="M431" s="60"/>
      <x:c r="N431" s="60" t="str">
        <x:v>W1F 9UA</x:v>
      </x:c>
      <x:c r="O431" s="61"/>
      <x:c r="P431" s="64" t="str">
        <x:f>IF(OR(O431="",I431=""),"",IFERROR(DATEDIF(O431,I431,"m")/12,""))</x:f>
      </x:c>
      <x:c r="Q431" s="60"/>
      <x:c r="R431" s="61"/>
      <x:c r="S431" s="64" t="str">
        <x:f>IF(OR(R431="",X431=""),"",IFERROR(DATEDIF(R431,X431,"m")/12,""))</x:f>
      </x:c>
      <x:c r="T431" s="60"/>
      <x:c r="U431" s="60"/>
      <x:c r="V431" s="60"/>
      <x:c r="W431" s="63"/>
      <x:c r="X431" s="65" t="n">
        <x:f>TODAY()</x:f>
        <x:v>46250</x:v>
      </x:c>
    </x:row>
    <x:row r="432">
      <x:c r="A432" s="59" t="str">
        <x:v>LUCARELLI</x:v>
      </x:c>
      <x:c r="B432" s="60" t="str">
        <x:v>RODOLFO</x:v>
      </x:c>
      <x:c r="C432" s="60"/>
      <x:c r="D432" s="61" t="n">
        <x:v>23963.5</x:v>
      </x:c>
      <x:c r="E432" s="62" t="n">
        <x:f>IF(OR(D432="",X432=""),"",IFERROR(DATEDIF(D432,X432,"y"),""))</x:f>
        <x:v>61</x:v>
      </x:c>
      <x:c r="F432" s="60"/>
      <x:c r="G432" s="63"/>
      <x:c r="H432" s="63"/>
      <x:c r="I432" s="61"/>
      <x:c r="J432" s="64" t="str">
        <x:f>IF(OR(I432="",X432=""),"",IFERROR(DATEDIF(I432,X432,"m")/12,""))</x:f>
      </x:c>
      <x:c r="K432" s="60"/>
      <x:c r="L432" s="60"/>
      <x:c r="M432" s="60"/>
      <x:c r="N432" s="60"/>
      <x:c r="O432" s="61"/>
      <x:c r="P432" s="64" t="str">
        <x:f>IF(OR(O432="",I432=""),"",IFERROR(DATEDIF(O432,I432,"m")/12,""))</x:f>
      </x:c>
      <x:c r="Q432" s="60"/>
      <x:c r="R432" s="61"/>
      <x:c r="S432" s="64" t="str">
        <x:f>IF(OR(R432="",X432=""),"",IFERROR(DATEDIF(R432,X432,"m")/12,""))</x:f>
      </x:c>
      <x:c r="T432" s="60"/>
      <x:c r="U432" s="60"/>
      <x:c r="V432" s="60"/>
      <x:c r="W432" s="63"/>
      <x:c r="X432" s="65" t="n">
        <x:f>TODAY()</x:f>
        <x:v>46250</x:v>
      </x:c>
    </x:row>
    <x:row r="433">
      <x:c r="A433" s="59" t="str">
        <x:v>LUCAS</x:v>
      </x:c>
      <x:c r="B433" s="60" t="str">
        <x:v>CONRAD</x:v>
      </x:c>
      <x:c r="C433" s="60" t="str">
        <x:v>ELLIOT</x:v>
      </x:c>
      <x:c r="D433" s="61"/>
      <x:c r="E433" s="62" t="str">
        <x:f>IF(OR(D433="",X433=""),"",IFERROR(DATEDIF(D433,X433,"y"),""))</x:f>
      </x:c>
      <x:c r="F433" s="60"/>
      <x:c r="G433" s="63"/>
      <x:c r="H433" s="63"/>
      <x:c r="I433" s="61"/>
      <x:c r="J433" s="64" t="str">
        <x:f>IF(OR(I433="",X433=""),"",IFERROR(DATEDIF(I433,X433,"m")/12,""))</x:f>
      </x:c>
      <x:c r="K433" s="60" t="str">
        <x:v>BASEMENT FLAT, 1 DRAYCOTT PLACE, LONDON, SW3 2SE</x:v>
      </x:c>
      <x:c r="L433" s="60" t="str">
        <x:v> SW3 2SE</x:v>
      </x:c>
      <x:c r="M433" s="60"/>
      <x:c r="N433" s="60" t="str">
        <x:v>SW3 2SE</x:v>
      </x:c>
      <x:c r="O433" s="61"/>
      <x:c r="P433" s="64" t="str">
        <x:f>IF(OR(O433="",I433=""),"",IFERROR(DATEDIF(O433,I433,"m")/12,""))</x:f>
      </x:c>
      <x:c r="Q433" s="60"/>
      <x:c r="R433" s="61"/>
      <x:c r="S433" s="64" t="str">
        <x:f>IF(OR(R433="",X433=""),"",IFERROR(DATEDIF(R433,X433,"m")/12,""))</x:f>
      </x:c>
      <x:c r="T433" s="60"/>
      <x:c r="U433" s="60"/>
      <x:c r="V433" s="60"/>
      <x:c r="W433" s="63"/>
      <x:c r="X433" s="65" t="n">
        <x:f>TODAY()</x:f>
        <x:v>46250</x:v>
      </x:c>
    </x:row>
    <x:row r="434">
      <x:c r="A434" s="59" t="str">
        <x:v>LUCIANI</x:v>
      </x:c>
      <x:c r="B434" s="60" t="str">
        <x:v>SIMONE</x:v>
      </x:c>
      <x:c r="C434" s="60"/>
      <x:c r="D434" s="61" t="n">
        <x:v>30510.5</x:v>
      </x:c>
      <x:c r="E434" s="62" t="n">
        <x:f>IF(OR(D434="",X434=""),"",IFERROR(DATEDIF(D434,X434,"y"),""))</x:f>
        <x:v>43</x:v>
      </x:c>
      <x:c r="F434" s="60"/>
      <x:c r="G434" s="63"/>
      <x:c r="H434" s="63"/>
      <x:c r="I434" s="61" t="n">
        <x:v>44317.5</x:v>
      </x:c>
      <x:c r="J434" s="64" t="n">
        <x:f>IF(OR(I434="",X434=""),"",IFERROR(DATEDIF(I434,X434,"m")/12,""))</x:f>
        <x:v>5.25</x:v>
      </x:c>
      <x:c r="K434" s="60" t="str">
        <x:v>FLAT 6, 280-282, FULHAM ROAD,, LONDON, SW10 9EW</x:v>
      </x:c>
      <x:c r="L434" s="60" t="str">
        <x:v> SW10 9EW</x:v>
      </x:c>
      <x:c r="M434" s="60"/>
      <x:c r="N434" s="60" t="str">
        <x:v>SW10 9EW</x:v>
      </x:c>
      <x:c r="O434" s="61" t="n">
        <x:v>43132.5</x:v>
      </x:c>
      <x:c r="P434" s="64" t="n">
        <x:f>IF(OR(O434="",I434=""),"",IFERROR(DATEDIF(O434,I434,"m")/12,""))</x:f>
        <x:v>3.25</x:v>
      </x:c>
      <x:c r="Q434" s="60" t="str">
        <x:v>FLAT 7, 284/286, FULHAM ROAD, WEST BROMPTON, LONDON, SW109EW</x:v>
      </x:c>
      <x:c r="R434" s="61"/>
      <x:c r="S434" s="64" t="str">
        <x:f>IF(OR(R434="",X434=""),"",IFERROR(DATEDIF(R434,X434,"m")/12,""))</x:f>
      </x:c>
      <x:c r="T434" s="60" t="str">
        <x:v>COMPANY DIRECTOR</x:v>
      </x:c>
      <x:c r="U434" s="60" t="str">
        <x:v>`</x:v>
      </x:c>
      <x:c r="V434" s="60" t="str">
        <x:v>THE BISCUIT FACTORY UNIT J211, 100 CLEMENTS RD, BERMONDSEY, LONDON, LONDON SE16 4DG</x:v>
      </x:c>
      <x:c r="W434" s="63" t="str">
        <x:v>02071931103</x:v>
      </x:c>
      <x:c r="X434" s="65" t="n">
        <x:f>TODAY()</x:f>
        <x:v>46250</x:v>
      </x:c>
    </x:row>
    <x:row r="435">
      <x:c r="A435" s="59" t="str">
        <x:v>LUER</x:v>
      </x:c>
      <x:c r="B435" s="60" t="str">
        <x:v>RUDOLF</x:v>
      </x:c>
      <x:c r="C435" s="60" t="str">
        <x:v>CARL</x:v>
      </x:c>
      <x:c r="D435" s="61" t="n">
        <x:v>19379.5</x:v>
      </x:c>
      <x:c r="E435" s="62" t="n">
        <x:f>IF(OR(D435="",X435=""),"",IFERROR(DATEDIF(D435,X435,"y"),""))</x:f>
        <x:v>73</x:v>
      </x:c>
      <x:c r="F435" s="60" t="str">
        <x:v>HOFFMANN</x:v>
      </x:c>
      <x:c r="G435" s="63" t="str">
        <x:v>07498657066</x:v>
      </x:c>
      <x:c r="H435" s="63"/>
      <x:c r="I435" s="61" t="n">
        <x:v>35612.5</x:v>
      </x:c>
      <x:c r="J435" s="64" t="n">
        <x:f>IF(OR(I435="",X435=""),"",IFERROR(DATEDIF(I435,X435,"m")/12,""))</x:f>
        <x:v>29.083333333333332</x:v>
      </x:c>
      <x:c r="K435" s="60" t="str">
        <x:v>FLAT 10, 4 QUEENS GATE PLACE, LONDON, SW7 5NT</x:v>
      </x:c>
      <x:c r="L435" s="60" t="str">
        <x:v> SW7 5NT</x:v>
      </x:c>
      <x:c r="M435" s="60"/>
      <x:c r="N435" s="60" t="str">
        <x:v>SW7 5NT</x:v>
      </x:c>
      <x:c r="O435" s="61"/>
      <x:c r="P435" s="64" t="str">
        <x:f>IF(OR(O435="",I435=""),"",IFERROR(DATEDIF(O435,I435,"m")/12,""))</x:f>
      </x:c>
      <x:c r="Q435" s="60"/>
      <x:c r="R435" s="61"/>
      <x:c r="S435" s="64" t="str">
        <x:f>IF(OR(R435="",X435=""),"",IFERROR(DATEDIF(R435,X435,"m")/12,""))</x:f>
      </x:c>
      <x:c r="T435" s="60"/>
      <x:c r="U435" s="60"/>
      <x:c r="V435" s="60"/>
      <x:c r="W435" s="63"/>
      <x:c r="X435" s="65" t="n">
        <x:f>TODAY()</x:f>
        <x:v>46250</x:v>
      </x:c>
    </x:row>
    <x:row r="436">
      <x:c r="A436" s="59" t="str">
        <x:v>LYON</x:v>
      </x:c>
      <x:c r="B436" s="60" t="str">
        <x:v>CRISTINA</x:v>
      </x:c>
      <x:c r="C436" s="60"/>
      <x:c r="D436" s="61" t="n">
        <x:v>34796.5</x:v>
      </x:c>
      <x:c r="E436" s="62" t="n">
        <x:f>IF(OR(D436="",X436=""),"",IFERROR(DATEDIF(D436,X436,"y"),""))</x:f>
        <x:v>31</x:v>
      </x:c>
      <x:c r="F436" s="60"/>
      <x:c r="G436" s="63"/>
      <x:c r="H436" s="63"/>
      <x:c r="I436" s="61"/>
      <x:c r="J436" s="64" t="str">
        <x:f>IF(OR(I436="",X436=""),"",IFERROR(DATEDIF(I436,X436,"m")/12,""))</x:f>
      </x:c>
      <x:c r="K436" s="60" t="str">
        <x:v>RUTLAND COURT, 21-23 DRAYCOTT PLACE, LONDON, SW3 2SQ</x:v>
      </x:c>
      <x:c r="L436" s="60" t="str">
        <x:v> SW3 2SQ</x:v>
      </x:c>
      <x:c r="M436" s="60"/>
      <x:c r="N436" s="60"/>
      <x:c r="O436" s="61"/>
      <x:c r="P436" s="64" t="str">
        <x:f>IF(OR(O436="",I436=""),"",IFERROR(DATEDIF(O436,I436,"m")/12,""))</x:f>
      </x:c>
      <x:c r="Q436" s="60"/>
      <x:c r="R436" s="61"/>
      <x:c r="S436" s="64" t="str">
        <x:f>IF(OR(R436="",X436=""),"",IFERROR(DATEDIF(R436,X436,"m")/12,""))</x:f>
      </x:c>
      <x:c r="T436" s="60"/>
      <x:c r="U436" s="60"/>
      <x:c r="V436" s="60"/>
      <x:c r="W436" s="63"/>
      <x:c r="X436" s="65" t="n">
        <x:f>TODAY()</x:f>
        <x:v>46250</x:v>
      </x:c>
    </x:row>
    <x:row r="437">
      <x:c r="A437" s="59" t="str">
        <x:v>M</x:v>
      </x:c>
      <x:c r="B437" s="60"/>
      <x:c r="C437" s="60"/>
      <x:c r="D437" s="61"/>
      <x:c r="E437" s="62" t="str">
        <x:f>IF(OR(D437="",X437=""),"",IFERROR(DATEDIF(D437,X437,"y"),""))</x:f>
      </x:c>
      <x:c r="F437" s="60"/>
      <x:c r="G437" s="63"/>
      <x:c r="H437" s="63"/>
      <x:c r="I437" s="61"/>
      <x:c r="J437" s="64" t="str">
        <x:f>IF(OR(I437="",X437=""),"",IFERROR(DATEDIF(I437,X437,"m")/12,""))</x:f>
      </x:c>
      <x:c r="K437" s="60"/>
      <x:c r="L437" s="60"/>
      <x:c r="M437" s="60"/>
      <x:c r="N437" s="60"/>
      <x:c r="O437" s="61"/>
      <x:c r="P437" s="64" t="str">
        <x:f>IF(OR(O437="",I437=""),"",IFERROR(DATEDIF(O437,I437,"m")/12,""))</x:f>
      </x:c>
      <x:c r="Q437" s="60"/>
      <x:c r="R437" s="61"/>
      <x:c r="S437" s="64" t="str">
        <x:f>IF(OR(R437="",X437=""),"",IFERROR(DATEDIF(R437,X437,"m")/12,""))</x:f>
      </x:c>
      <x:c r="T437" s="60"/>
      <x:c r="U437" s="60"/>
      <x:c r="V437" s="60"/>
      <x:c r="W437" s="63"/>
      <x:c r="X437" s="65" t="n">
        <x:f>TODAY()</x:f>
        <x:v>46250</x:v>
      </x:c>
    </x:row>
    <x:row r="438">
      <x:c r="A438" s="59" t="str">
        <x:v>MACAUSLAN</x:v>
      </x:c>
      <x:c r="B438" s="60" t="str">
        <x:v>JAMES</x:v>
      </x:c>
      <x:c r="C438" s="60" t="str">
        <x:v>HUME</x:v>
      </x:c>
      <x:c r="D438" s="61" t="n">
        <x:v>32606.5</x:v>
      </x:c>
      <x:c r="E438" s="62" t="n">
        <x:f>IF(OR(D438="",X438=""),"",IFERROR(DATEDIF(D438,X438,"y"),""))</x:f>
        <x:v>37</x:v>
      </x:c>
      <x:c r="F438" s="60" t="str">
        <x:v>BOAG</x:v>
      </x:c>
      <x:c r="G438" s="63"/>
      <x:c r="H438" s="63"/>
      <x:c r="I438" s="61" t="n">
        <x:v>41944.5</x:v>
      </x:c>
      <x:c r="J438" s="64" t="n">
        <x:f>IF(OR(I438="",X438=""),"",IFERROR(DATEDIF(I438,X438,"m")/12,""))</x:f>
        <x:v>11.75</x:v>
      </x:c>
      <x:c r="K438" s="60" t="str">
        <x:v>GARDEN FLAT, 57, AVONMORE ROAD, LONDON, LONDON, W14 8RT</x:v>
      </x:c>
      <x:c r="L438" s="60" t="str">
        <x:v> LONDON, W14 8RT</x:v>
      </x:c>
      <x:c r="M438" s="60"/>
      <x:c r="N438" s="60" t="str">
        <x:v> W14 8RT</x:v>
      </x:c>
      <x:c r="O438" s="61"/>
      <x:c r="P438" s="64" t="str">
        <x:f>IF(OR(O438="",I438=""),"",IFERROR(DATEDIF(O438,I438,"m")/12,""))</x:f>
      </x:c>
      <x:c r="Q438" s="60"/>
      <x:c r="R438" s="61" t="n">
        <x:v>41456.5</x:v>
      </x:c>
      <x:c r="S438" s="64" t="n">
        <x:f>IF(OR(R438="",X438=""),"",IFERROR(DATEDIF(R438,X438,"m")/12,""))</x:f>
        <x:v>13.083333333333334</x:v>
      </x:c>
      <x:c r="T438" s="60" t="str">
        <x:v>CUTTER &amp; CREATIVE CONSULTANT</x:v>
      </x:c>
      <x:c r="U438" s="60" t="str">
        <x:v>BUDD (SHIRTMAKERS) LIMITED</x:v>
      </x:c>
      <x:c r="V438" s="60"/>
      <x:c r="W438" s="63"/>
      <x:c r="X438" s="65" t="n">
        <x:f>TODAY()</x:f>
        <x:v>46250</x:v>
      </x:c>
    </x:row>
    <x:row r="439">
      <x:c r="A439" s="59" t="str">
        <x:v>MACHADO-GEAQUINTO</x:v>
      </x:c>
      <x:c r="B439" s="60" t="str">
        <x:v>LIA</x:v>
      </x:c>
      <x:c r="C439" s="60"/>
      <x:c r="D439" s="61" t="n">
        <x:v>28930.5</x:v>
      </x:c>
      <x:c r="E439" s="62" t="n">
        <x:f>IF(OR(D439="",X439=""),"",IFERROR(DATEDIF(D439,X439,"y"),""))</x:f>
        <x:v>47</x:v>
      </x:c>
      <x:c r="F439" s="60" t="str">
        <x:v>GEAQUINTO</x:v>
      </x:c>
      <x:c r="G439" s="63"/>
      <x:c r="H439" s="63"/>
      <x:c r="I439" s="61" t="n">
        <x:v>39873.5</x:v>
      </x:c>
      <x:c r="J439" s="64" t="n">
        <x:f>IF(OR(I439="",X439=""),"",IFERROR(DATEDIF(I439,X439,"m")/12,""))</x:f>
        <x:v>17.416666666666668</x:v>
      </x:c>
      <x:c r="K439" s="60" t="str">
        <x:v>FLAT 16C, PARKWAY, LONDON, NW1 7AA</x:v>
      </x:c>
      <x:c r="L439" s="60" t="str">
        <x:v> NW1 7AA</x:v>
      </x:c>
      <x:c r="M439" s="60"/>
      <x:c r="N439" s="60" t="str">
        <x:v>NW1 7AA</x:v>
      </x:c>
      <x:c r="O439" s="61"/>
      <x:c r="P439" s="64" t="str">
        <x:f>IF(OR(O439="",I439=""),"",IFERROR(DATEDIF(O439,I439,"m")/12,""))</x:f>
      </x:c>
      <x:c r="Q439" s="60"/>
      <x:c r="R439" s="61" t="n">
        <x:v>40452.5</x:v>
      </x:c>
      <x:c r="S439" s="64" t="n">
        <x:f>IF(OR(R439="",X439=""),"",IFERROR(DATEDIF(R439,X439,"m")/12,""))</x:f>
        <x:v>15.833333333333334</x:v>
      </x:c>
      <x:c r="T439" s="60" t="str">
        <x:v>ASSOCIATE</x:v>
      </x:c>
      <x:c r="U439" s="60" t="str">
        <x:v>CMS CAMERON MCCENNA, OLSWANG LLP</x:v>
      </x:c>
      <x:c r="V439" s="60" t="str">
        <x:v>CANNON PLACE, 78 CANNON STREET, LONDON, EC4N 6AF</x:v>
      </x:c>
      <x:c r="W439" s="63" t="str">
        <x:v>020 7367 3000</x:v>
      </x:c>
      <x:c r="X439" s="65" t="n">
        <x:f>TODAY()</x:f>
        <x:v>46250</x:v>
      </x:c>
    </x:row>
    <x:row r="440">
      <x:c r="A440" s="59" t="str">
        <x:v>MAGUIRE</x:v>
      </x:c>
      <x:c r="B440" s="60" t="str">
        <x:v>ANDREW</x:v>
      </x:c>
      <x:c r="C440" s="60" t="str">
        <x:v>MITCHELL</x:v>
      </x:c>
      <x:c r="D440" s="61" t="n">
        <x:v>24393.5</x:v>
      </x:c>
      <x:c r="E440" s="62" t="n">
        <x:f>IF(OR(D440="",X440=""),"",IFERROR(DATEDIF(D440,X440,"y"),""))</x:f>
        <x:v>59</x:v>
      </x:c>
      <x:c r="F440" s="60"/>
      <x:c r="G440" s="63" t="str">
        <x:v>07831857447</x:v>
      </x:c>
      <x:c r="H440" s="63"/>
      <x:c r="I440" s="61" t="n">
        <x:v>39356.5</x:v>
      </x:c>
      <x:c r="J440" s="64" t="n">
        <x:f>IF(OR(I440="",X440=""),"",IFERROR(DATEDIF(I440,X440,"m")/12,""))</x:f>
        <x:v>18.833333333333332</x:v>
      </x:c>
      <x:c r="K440" s="60" t="str">
        <x:v>17A LANCASTER GATE, LONDON W2 3LH</x:v>
      </x:c>
      <x:c r="L440" s="60"/>
      <x:c r="M440" s="60"/>
      <x:c r="N440" s="60"/>
      <x:c r="O440" s="61" t="n">
        <x:v>39356.5</x:v>
      </x:c>
      <x:c r="P440" s="64" t="n">
        <x:f>IF(OR(O440="",I440=""),"",IFERROR(DATEDIF(O440,I440,"m")/12,""))</x:f>
        <x:v>0</x:v>
      </x:c>
      <x:c r="Q440" s="60" t="str">
        <x:v>21, HYDE PARK SQUARE, W2 2JR</x:v>
      </x:c>
      <x:c r="R440" s="61" t="n">
        <x:v>35916.5</x:v>
      </x:c>
      <x:c r="S440" s="64" t="n">
        <x:f>IF(OR(R440="",X440=""),"",IFERROR(DATEDIF(R440,X440,"m")/12,""))</x:f>
        <x:v>28.25</x:v>
      </x:c>
      <x:c r="T440" s="60" t="str">
        <x:v>CHAIR GLOBAL BANKING</x:v>
      </x:c>
      <x:c r="U440" s="60" t="str">
        <x:v>THE BOSTON CONSULTING GROUP</x:v>
      </x:c>
      <x:c r="V440" s="60" t="str">
        <x:v>20 MANCHESTER SQUARE, LONDON, W1U 3PZ</x:v>
      </x:c>
      <x:c r="W440" s="63"/>
      <x:c r="X440" s="65" t="n">
        <x:f>TODAY()</x:f>
        <x:v>46250</x:v>
      </x:c>
    </x:row>
    <x:row r="441">
      <x:c r="A441" s="59" t="str">
        <x:v>MAGUIRE</x:v>
      </x:c>
      <x:c r="B441" s="60" t="str">
        <x:v>MOIRA</x:v>
      </x:c>
      <x:c r="C441" s="60" t="str">
        <x:v>HAMILTON</x:v>
      </x:c>
      <x:c r="D441" s="61" t="n">
        <x:v>22341.5</x:v>
      </x:c>
      <x:c r="E441" s="62" t="n">
        <x:f>IF(OR(D441="",X441=""),"",IFERROR(DATEDIF(D441,X441,"y"),""))</x:f>
        <x:v>65</x:v>
      </x:c>
      <x:c r="F441" s="60"/>
      <x:c r="G441" s="63"/>
      <x:c r="H441" s="63"/>
      <x:c r="I441" s="61"/>
      <x:c r="J441" s="64" t="str">
        <x:f>IF(OR(I441="",X441=""),"",IFERROR(DATEDIF(I441,X441,"m")/12,""))</x:f>
      </x:c>
      <x:c r="K441" s="60" t="str">
        <x:v>17A LANCASTER GATE, LONDON W2 3LH</x:v>
      </x:c>
      <x:c r="L441" s="60"/>
      <x:c r="M441" s="60"/>
      <x:c r="N441" s="60"/>
      <x:c r="O441" s="61"/>
      <x:c r="P441" s="64" t="str">
        <x:f>IF(OR(O441="",I441=""),"",IFERROR(DATEDIF(O441,I441,"m")/12,""))</x:f>
      </x:c>
      <x:c r="Q441" s="60"/>
      <x:c r="R441" s="61" t="n">
        <x:v>44440.5</x:v>
      </x:c>
      <x:c r="S441" s="64" t="n">
        <x:f>IF(OR(R441="",X441=""),"",IFERROR(DATEDIF(R441,X441,"m")/12,""))</x:f>
        <x:v>4.916666666666667</x:v>
      </x:c>
      <x:c r="T441" s="60" t="str">
        <x:v>EXECUTIVE</x:v>
      </x:c>
      <x:c r="U441" s="60" t="str">
        <x:v>UNIVERSITY OF ST ANDREWS</x:v>
      </x:c>
      <x:c r="V441" s="60" t="str">
        <x:v>NORTH STREET, ST ANDREWS, FIFE KY16 9AJ, GB</x:v>
      </x:c>
      <x:c r="W441" s="63"/>
      <x:c r="X441" s="65" t="n">
        <x:f>TODAY()</x:f>
        <x:v>46250</x:v>
      </x:c>
    </x:row>
    <x:row r="442">
      <x:c r="A442" s="59" t="str">
        <x:v>MAHENDRAN</x:v>
      </x:c>
      <x:c r="B442" s="60" t="str">
        <x:v>ARAVINTHAN</x:v>
      </x:c>
      <x:c r="C442" s="60"/>
      <x:c r="D442" s="61" t="n">
        <x:v>28514.5</x:v>
      </x:c>
      <x:c r="E442" s="62" t="n">
        <x:f>IF(OR(D442="",X442=""),"",IFERROR(DATEDIF(D442,X442,"y"),""))</x:f>
        <x:v>48</x:v>
      </x:c>
      <x:c r="F442" s="60"/>
      <x:c r="G442" s="63"/>
      <x:c r="H442" s="63"/>
      <x:c r="I442" s="61"/>
      <x:c r="J442" s="64" t="str">
        <x:f>IF(OR(I442="",X442=""),"",IFERROR(DATEDIF(I442,X442,"m")/12,""))</x:f>
      </x:c>
      <x:c r="K442" s="60" t="str">
        <x:v>FLAT 1, 75 GLOUCESTER TERRACE LONDON, W2 3DH</x:v>
      </x:c>
      <x:c r="L442" s="60" t="str">
        <x:v> W2 3DH</x:v>
      </x:c>
      <x:c r="M442" s="60"/>
      <x:c r="N442" s="60" t="str">
        <x:v>W2 3DH</x:v>
      </x:c>
      <x:c r="O442" s="61"/>
      <x:c r="P442" s="64" t="str">
        <x:f>IF(OR(O442="",I442=""),"",IFERROR(DATEDIF(O442,I442,"m")/12,""))</x:f>
      </x:c>
      <x:c r="Q442" s="60"/>
      <x:c r="R442" s="61"/>
      <x:c r="S442" s="64" t="str">
        <x:f>IF(OR(R442="",X442=""),"",IFERROR(DATEDIF(R442,X442,"m")/12,""))</x:f>
      </x:c>
      <x:c r="T442" s="60"/>
      <x:c r="U442" s="60"/>
      <x:c r="V442" s="60"/>
      <x:c r="W442" s="63"/>
      <x:c r="X442" s="65" t="n">
        <x:f>TODAY()</x:f>
        <x:v>46250</x:v>
      </x:c>
    </x:row>
    <x:row r="443">
      <x:c r="A443" s="59" t="str">
        <x:v>MAIN</x:v>
      </x:c>
      <x:c r="B443" s="60" t="str">
        <x:v>CHRISTOPHER</x:v>
      </x:c>
      <x:c r="C443" s="60" t="str">
        <x:v>JAMES</x:v>
      </x:c>
      <x:c r="D443" s="61" t="n">
        <x:v>33315.5</x:v>
      </x:c>
      <x:c r="E443" s="62" t="n">
        <x:f>IF(OR(D443="",X443=""),"",IFERROR(DATEDIF(D443,X443,"y"),""))</x:f>
        <x:v>35</x:v>
      </x:c>
      <x:c r="F443" s="60" t="str">
        <x:v>BERRY</x:v>
      </x:c>
      <x:c r="G443" s="63" t="str">
        <x:v>07553410956</x:v>
      </x:c>
      <x:c r="H443" s="63"/>
      <x:c r="I443" s="61" t="n">
        <x:v>42644.5</x:v>
      </x:c>
      <x:c r="J443" s="64" t="n">
        <x:f>IF(OR(I443="",X443=""),"",IFERROR(DATEDIF(I443,X443,"m")/12,""))</x:f>
        <x:v>9.833333333333334</x:v>
      </x:c>
      <x:c r="K443" s="60" t="str">
        <x:v>FLAT 4, 100 CLAPHAM COMMON SOUTH SIDE,L LONDON, SW4 9DN</x:v>
      </x:c>
      <x:c r="L443" s="60" t="str">
        <x:v> SW4 9DN</x:v>
      </x:c>
      <x:c r="M443" s="60"/>
      <x:c r="N443" s="60" t="str">
        <x:v>SW4 9DN</x:v>
      </x:c>
      <x:c r="O443" s="61"/>
      <x:c r="P443" s="64" t="str">
        <x:f>IF(OR(O443="",I443=""),"",IFERROR(DATEDIF(O443,I443,"m")/12,""))</x:f>
      </x:c>
      <x:c r="Q443" s="60"/>
      <x:c r="R443" s="61" t="n">
        <x:v>43344.5</x:v>
      </x:c>
      <x:c r="S443" s="64" t="n">
        <x:f>IF(OR(R443="",X443=""),"",IFERROR(DATEDIF(R443,X443,"m")/12,""))</x:f>
        <x:v>7.916666666666667</x:v>
      </x:c>
      <x:c r="T443" s="60" t="str">
        <x:v>ENERGY INVESTOR</x:v>
      </x:c>
      <x:c r="U443" s="60" t="str">
        <x:v>MILLENNIUM MANAGEMENT LLC</x:v>
      </x:c>
      <x:c r="V443" s="60" t="str">
        <x:v>20 GROSVENOR STREET, LONDON, W1K 4QJ</x:v>
      </x:c>
      <x:c r="W443" s="63" t="str">
        <x:v>020 7107 8400</x:v>
      </x:c>
      <x:c r="X443" s="65" t="n">
        <x:f>TODAY()</x:f>
        <x:v>46250</x:v>
      </x:c>
    </x:row>
    <x:row r="444">
      <x:c r="A444" s="59" t="str">
        <x:v>MAIXANDEAU</x:v>
      </x:c>
      <x:c r="B444" s="60" t="str">
        <x:v>VIRGILE</x:v>
      </x:c>
      <x:c r="C444" s="60"/>
      <x:c r="D444" s="61" t="n">
        <x:v>32905.5</x:v>
      </x:c>
      <x:c r="E444" s="62" t="n">
        <x:f>IF(OR(D444="",X444=""),"",IFERROR(DATEDIF(D444,X444,"y"),""))</x:f>
        <x:v>36</x:v>
      </x:c>
      <x:c r="F444" s="60"/>
      <x:c r="G444" s="63" t="str">
        <x:v>7476680333</x:v>
      </x:c>
      <x:c r="H444" s="63"/>
      <x:c r="I444" s="61" t="n">
        <x:v>44652.5</x:v>
      </x:c>
      <x:c r="J444" s="64" t="n">
        <x:f>IF(OR(I444="",X444=""),"",IFERROR(DATEDIF(I444,X444,"m")/12,""))</x:f>
        <x:v>4.333333333333333</x:v>
      </x:c>
      <x:c r="K444" s="60" t="str">
        <x:v>FLAT 3, 27 REDCLIFFE SQUARE, LONDON, SW10 9JX</x:v>
      </x:c>
      <x:c r="L444" s="60" t="str">
        <x:v> SW10 9JX</x:v>
      </x:c>
      <x:c r="M444" s="60"/>
      <x:c r="N444" s="60" t="str">
        <x:v>SW10 9JX</x:v>
      </x:c>
      <x:c r="O444" s="61" t="n">
        <x:v>43132.5</x:v>
      </x:c>
      <x:c r="P444" s="64" t="n">
        <x:f>IF(OR(O444="",I444=""),"",IFERROR(DATEDIF(O444,I444,"m")/12,""))</x:f>
        <x:v>4.166666666666667</x:v>
      </x:c>
      <x:c r="Q444" s="60" t="str">
        <x:v>FLAT 1, 14 GUNTER GROVE, LONDON, SW10 0UJ</x:v>
      </x:c>
      <x:c r="R444" s="61"/>
      <x:c r="S444" s="64" t="str">
        <x:f>IF(OR(R444="",X444=""),"",IFERROR(DATEDIF(R444,X444,"m")/12,""))</x:f>
      </x:c>
      <x:c r="T444" s="60" t="str">
        <x:v>EXECUTIVE DIRECTOR</x:v>
      </x:c>
      <x:c r="U444" s="60" t="str">
        <x:v>NOMURA INTERNATIONAL PLC</x:v>
      </x:c>
      <x:c r="V444" s="60" t="str">
        <x:v>1 ANGEL LN, LONDON EC4R 3AB</x:v>
      </x:c>
      <x:c r="W444" s="63" t="str">
        <x:v>020 7102 1000</x:v>
      </x:c>
      <x:c r="X444" s="65" t="n">
        <x:f>TODAY()</x:f>
        <x:v>46250</x:v>
      </x:c>
    </x:row>
    <x:row r="445">
      <x:c r="A445" s="59" t="str">
        <x:v>MAIXANDEAU</x:v>
      </x:c>
      <x:c r="B445" s="60" t="str">
        <x:v>ALINA</x:v>
      </x:c>
      <x:c r="C445" s="60"/>
      <x:c r="D445" s="61" t="n">
        <x:v>34006.5</x:v>
      </x:c>
      <x:c r="E445" s="62" t="n">
        <x:f>IF(OR(D445="",X445=""),"",IFERROR(DATEDIF(D445,X445,"y"),""))</x:f>
        <x:v>33</x:v>
      </x:c>
      <x:c r="F445" s="60"/>
      <x:c r="G445" s="63" t="str">
        <x:v>07476800333</x:v>
      </x:c>
      <x:c r="H445" s="63"/>
      <x:c r="I445" s="61" t="n">
        <x:v>43800.5</x:v>
      </x:c>
      <x:c r="J445" s="64" t="n">
        <x:f>IF(OR(I445="",X445=""),"",IFERROR(DATEDIF(I445,X445,"m")/12,""))</x:f>
        <x:v>6.666666666666667</x:v>
      </x:c>
      <x:c r="K445" s="60" t="str">
        <x:v>FLAT 3, 27 REDCLIFFE SQUARE, LONDON, SW10 9JX</x:v>
      </x:c>
      <x:c r="L445" s="60" t="str">
        <x:v> SW10 9JX</x:v>
      </x:c>
      <x:c r="M445" s="60"/>
      <x:c r="N445" s="60" t="str">
        <x:v>SW10 9JX</x:v>
      </x:c>
      <x:c r="O445" s="61"/>
      <x:c r="P445" s="64" t="str">
        <x:f>IF(OR(O445="",I445=""),"",IFERROR(DATEDIF(O445,I445,"m")/12,""))</x:f>
      </x:c>
      <x:c r="Q445" s="60"/>
      <x:c r="R445" s="61" t="n">
        <x:v>42979.5</x:v>
      </x:c>
      <x:c r="S445" s="64" t="n">
        <x:f>IF(OR(R445="",X445=""),"",IFERROR(DATEDIF(R445,X445,"m")/12,""))</x:f>
        <x:v>8.916666666666666</x:v>
      </x:c>
      <x:c r="T445" s="60" t="str">
        <x:v>ACCOUNT DIRECTOR</x:v>
      </x:c>
      <x:c r="U445" s="60" t="str">
        <x:v>SEC NEWGATE UK</x:v>
      </x:c>
      <x:c r="V445" s="60" t="str">
        <x:v>14 GREVILLE STREET, LONDON, EC1N 8SB</x:v>
      </x:c>
      <x:c r="W445" s="63"/>
      <x:c r="X445" s="65" t="n">
        <x:f>TODAY()</x:f>
        <x:v>46250</x:v>
      </x:c>
    </x:row>
    <x:row r="446">
      <x:c r="A446" s="59" t="str">
        <x:v>MAJDALANI</x:v>
      </x:c>
      <x:c r="B446" s="60" t="str">
        <x:v>ORNELLA</x:v>
      </x:c>
      <x:c r="C446" s="60"/>
      <x:c r="D446" s="61" t="n">
        <x:v>35368.5</x:v>
      </x:c>
      <x:c r="E446" s="62" t="n">
        <x:f>IF(OR(D446="",X446=""),"",IFERROR(DATEDIF(D446,X446,"y"),""))</x:f>
        <x:v>29</x:v>
      </x:c>
      <x:c r="F446" s="60"/>
      <x:c r="G446" s="63"/>
      <x:c r="H446" s="63"/>
      <x:c r="I446" s="61"/>
      <x:c r="J446" s="64" t="str">
        <x:f>IF(OR(I446="",X446=""),"",IFERROR(DATEDIF(I446,X446,"m")/12,""))</x:f>
      </x:c>
      <x:c r="K446" s="60" t="str">
        <x:v>FLAT 3, 1 DRAYCOTT PLACE, LONDON, SW3 2SE</x:v>
      </x:c>
      <x:c r="L446" s="60" t="str">
        <x:v> SW3 2SE</x:v>
      </x:c>
      <x:c r="M446" s="60"/>
      <x:c r="N446" s="60" t="str">
        <x:v>SW3 2SE</x:v>
      </x:c>
      <x:c r="O446" s="61"/>
      <x:c r="P446" s="64" t="str">
        <x:f>IF(OR(O446="",I446=""),"",IFERROR(DATEDIF(O446,I446,"m")/12,""))</x:f>
      </x:c>
      <x:c r="Q446" s="60"/>
      <x:c r="R446" s="61" t="n">
        <x:v>45597.5</x:v>
      </x:c>
      <x:c r="S446" s="64" t="n">
        <x:f>IF(OR(R446="",X446=""),"",IFERROR(DATEDIF(R446,X446,"m")/12,""))</x:f>
        <x:v>1.75</x:v>
      </x:c>
      <x:c r="T446" s="60" t="str">
        <x:v>FINAL MEDICAL SIGNATORY</x:v>
      </x:c>
      <x:c r="U446" s="60" t="str">
        <x:v>ASTRAZENECA</x:v>
      </x:c>
      <x:c r="V446" s="60" t="str">
        <x:v>2 PANCRAS SQUARE, LONDON, N1C 4AG, ENGLAND</x:v>
      </x:c>
      <x:c r="W446" s="63"/>
      <x:c r="X446" s="65" t="n">
        <x:f>TODAY()</x:f>
        <x:v>46250</x:v>
      </x:c>
    </x:row>
    <x:row r="447">
      <x:c r="A447" s="59" t="str">
        <x:v>MAJDALANI</x:v>
      </x:c>
      <x:c r="B447" s="60" t="str">
        <x:v>ORNELLA</x:v>
      </x:c>
      <x:c r="C447" s="60"/>
      <x:c r="D447" s="61" t="n">
        <x:v>35368.5</x:v>
      </x:c>
      <x:c r="E447" s="62" t="n">
        <x:f>IF(OR(D447="",X447=""),"",IFERROR(DATEDIF(D447,X447,"y"),""))</x:f>
        <x:v>29</x:v>
      </x:c>
      <x:c r="F447" s="60"/>
      <x:c r="G447" s="63"/>
      <x:c r="H447" s="63"/>
      <x:c r="I447" s="61"/>
      <x:c r="J447" s="64" t="str">
        <x:f>IF(OR(I447="",X447=""),"",IFERROR(DATEDIF(I447,X447,"m")/12,""))</x:f>
      </x:c>
      <x:c r="K447" s="60"/>
      <x:c r="L447" s="60"/>
      <x:c r="M447" s="60"/>
      <x:c r="N447" s="60"/>
      <x:c r="O447" s="61"/>
      <x:c r="P447" s="64" t="str">
        <x:f>IF(OR(O447="",I447=""),"",IFERROR(DATEDIF(O447,I447,"m")/12,""))</x:f>
      </x:c>
      <x:c r="Q447" s="60"/>
      <x:c r="R447" s="61"/>
      <x:c r="S447" s="64" t="str">
        <x:f>IF(OR(R447="",X447=""),"",IFERROR(DATEDIF(R447,X447,"m")/12,""))</x:f>
      </x:c>
      <x:c r="T447" s="60"/>
      <x:c r="U447" s="60"/>
      <x:c r="V447" s="60"/>
      <x:c r="W447" s="63"/>
      <x:c r="X447" s="65" t="n">
        <x:f>TODAY()</x:f>
        <x:v>46250</x:v>
      </x:c>
    </x:row>
    <x:row r="448">
      <x:c r="A448" s="59" t="str">
        <x:v>MAKIN</x:v>
      </x:c>
      <x:c r="B448" s="60" t="str">
        <x:v>MIA</x:v>
      </x:c>
      <x:c r="C448" s="60"/>
      <x:c r="D448" s="61" t="n">
        <x:v>32539.5</x:v>
      </x:c>
      <x:c r="E448" s="62" t="n">
        <x:f>IF(OR(D448="",X448=""),"",IFERROR(DATEDIF(D448,X448,"y"),""))</x:f>
        <x:v>37</x:v>
      </x:c>
      <x:c r="F448" s="60" t="str">
        <x:v>IRISH</x:v>
      </x:c>
      <x:c r="G448" s="63"/>
      <x:c r="H448" s="63"/>
      <x:c r="I448" s="61" t="n">
        <x:v>44713.5</x:v>
      </x:c>
      <x:c r="J448" s="64" t="n">
        <x:f>IF(OR(I448="",X448=""),"",IFERROR(DATEDIF(I448,X448,"m")/12,""))</x:f>
        <x:v>4.166666666666667</x:v>
      </x:c>
      <x:c r="K448" s="60" t="str">
        <x:v>FLAT 2, 268 FULHAM ROAD, LONDON, SW10 9EW</x:v>
      </x:c>
      <x:c r="L448" s="60" t="str">
        <x:v> SW10 9EW</x:v>
      </x:c>
      <x:c r="M448" s="60"/>
      <x:c r="N448" s="60" t="str">
        <x:v>SW10 9EW</x:v>
      </x:c>
      <x:c r="O448" s="61" t="n">
        <x:v>43221.5</x:v>
      </x:c>
      <x:c r="P448" s="64" t="n">
        <x:f>IF(OR(O448="",I448=""),"",IFERROR(DATEDIF(O448,I448,"m")/12,""))</x:f>
        <x:v>4.083333333333333</x:v>
      </x:c>
      <x:c r="Q448" s="60" t="str">
        <x:v>9, BROOKVILLE ROAD, LONDON, LONDON, SW6 7BH</x:v>
      </x:c>
      <x:c r="R448" s="61"/>
      <x:c r="S448" s="64" t="str">
        <x:f>IF(OR(R448="",X448=""),"",IFERROR(DATEDIF(R448,X448,"m")/12,""))</x:f>
      </x:c>
      <x:c r="T448" s="60"/>
      <x:c r="U448" s="60"/>
      <x:c r="V448" s="60"/>
      <x:c r="W448" s="63"/>
      <x:c r="X448" s="65" t="n">
        <x:f>TODAY()</x:f>
        <x:v>46250</x:v>
      </x:c>
    </x:row>
    <x:row r="449">
      <x:c r="A449" s="59" t="str">
        <x:v>MAKRIS</x:v>
      </x:c>
      <x:c r="B449" s="60" t="str">
        <x:v>CHRISTINA</x:v>
      </x:c>
      <x:c r="C449" s="60"/>
      <x:c r="D449" s="61" t="n">
        <x:v>29024.5</x:v>
      </x:c>
      <x:c r="E449" s="62" t="n">
        <x:f>IF(OR(D449="",X449=""),"",IFERROR(DATEDIF(D449,X449,"y"),""))</x:f>
        <x:v>47</x:v>
      </x:c>
      <x:c r="F449" s="60"/>
      <x:c r="G449" s="63"/>
      <x:c r="H449" s="63"/>
      <x:c r="I449" s="61"/>
      <x:c r="J449" s="64" t="str">
        <x:f>IF(OR(I449="",X449=""),"",IFERROR(DATEDIF(I449,X449,"m")/12,""))</x:f>
      </x:c>
      <x:c r="K449" s="60" t="str">
        <x:v>FLAT 7, 44 BRYANSTON SQUARE, LONDON, W1H 7LL</x:v>
      </x:c>
      <x:c r="L449" s="60" t="str">
        <x:v> W1H 7LL</x:v>
      </x:c>
      <x:c r="M449" s="60"/>
      <x:c r="N449" s="60" t="str">
        <x:v>W1H 7LL</x:v>
      </x:c>
      <x:c r="O449" s="61"/>
      <x:c r="P449" s="64" t="str">
        <x:f>IF(OR(O449="",I449=""),"",IFERROR(DATEDIF(O449,I449,"m")/12,""))</x:f>
      </x:c>
      <x:c r="Q449" s="60"/>
      <x:c r="R449" s="61"/>
      <x:c r="S449" s="64" t="str">
        <x:f>IF(OR(R449="",X449=""),"",IFERROR(DATEDIF(R449,X449,"m")/12,""))</x:f>
      </x:c>
      <x:c r="T449" s="60"/>
      <x:c r="U449" s="60"/>
      <x:c r="V449" s="60"/>
      <x:c r="W449" s="63"/>
      <x:c r="X449" s="65" t="n">
        <x:f>TODAY()</x:f>
        <x:v>46250</x:v>
      </x:c>
    </x:row>
    <x:row r="450">
      <x:c r="A450" s="59" t="str">
        <x:v>MALHOTRA</x:v>
      </x:c>
      <x:c r="B450" s="60" t="str">
        <x:v>RAOUL</x:v>
      </x:c>
      <x:c r="C450" s="60" t="str">
        <x:v>VIRAJ</x:v>
      </x:c>
      <x:c r="D450" s="61" t="n">
        <x:v>33342.5</x:v>
      </x:c>
      <x:c r="E450" s="62" t="n">
        <x:f>IF(OR(D450="",X450=""),"",IFERROR(DATEDIF(D450,X450,"y"),""))</x:f>
        <x:v>35</x:v>
      </x:c>
      <x:c r="F450" s="60" t="str">
        <x:v>MASCARENAS</x:v>
      </x:c>
      <x:c r="G450" s="63" t="str">
        <x:v>07867169018</x:v>
      </x:c>
      <x:c r="H450" s="63"/>
      <x:c r="I450" s="61" t="n">
        <x:v>43344.5</x:v>
      </x:c>
      <x:c r="J450" s="64" t="n">
        <x:f>IF(OR(I450="",X450=""),"",IFERROR(DATEDIF(I450,X450,"m")/12,""))</x:f>
        <x:v>7.916666666666667</x:v>
      </x:c>
      <x:c r="K450" s="60" t="str">
        <x:v>FLAT 3, 92 WESTBOURNE TERRACE, LONDON, W2 6QE</x:v>
      </x:c>
      <x:c r="L450" s="60" t="str">
        <x:v> W2 6QE</x:v>
      </x:c>
      <x:c r="M450" s="60"/>
      <x:c r="N450" s="60" t="str">
        <x:v>W2 6QE</x:v>
      </x:c>
      <x:c r="O450" s="61"/>
      <x:c r="P450" s="64" t="str">
        <x:f>IF(OR(O450="",I450=""),"",IFERROR(DATEDIF(O450,I450,"m")/12,""))</x:f>
      </x:c>
      <x:c r="Q450" s="60" t="str">
        <x:v>FLAT C, 63 HOLLAND PARK, LONDON, W11 3SJ</x:v>
      </x:c>
      <x:c r="R450" s="61" t="n">
        <x:v>43952.5</x:v>
      </x:c>
      <x:c r="S450" s="64" t="n">
        <x:f>IF(OR(R450="",X450=""),"",IFERROR(DATEDIF(R450,X450,"m")/12,""))</x:f>
        <x:v>6.25</x:v>
      </x:c>
      <x:c r="T450" s="60"/>
      <x:c r="U450" s="60"/>
      <x:c r="V450" s="60" t="str">
        <x:v>FLOOR 4, VICTORY HOUSE, LONDON, W1B 4EZ, GB</x:v>
      </x:c>
      <x:c r="W450" s="63"/>
      <x:c r="X450" s="65" t="n">
        <x:f>TODAY()</x:f>
        <x:v>46250</x:v>
      </x:c>
    </x:row>
    <x:row r="451">
      <x:c r="A451" s="59" t="str">
        <x:v>MAMMOLITI</x:v>
      </x:c>
      <x:c r="B451" s="60" t="str">
        <x:v>LUCA</x:v>
      </x:c>
      <x:c r="C451" s="60"/>
      <x:c r="D451" s="61" t="n">
        <x:v>27065.5</x:v>
      </x:c>
      <x:c r="E451" s="62" t="n">
        <x:f>IF(OR(D451="",X451=""),"",IFERROR(DATEDIF(D451,X451,"y"),""))</x:f>
        <x:v>52</x:v>
      </x:c>
      <x:c r="F451" s="60"/>
      <x:c r="G451" s="63"/>
      <x:c r="H451" s="63"/>
      <x:c r="I451" s="61" t="n">
        <x:v>43221.5</x:v>
      </x:c>
      <x:c r="J451" s="64" t="n">
        <x:f>IF(OR(I451="",X451=""),"",IFERROR(DATEDIF(I451,X451,"m")/12,""))</x:f>
        <x:v>8.25</x:v>
      </x:c>
      <x:c r="K451" s="60" t="str">
        <x:v>53 QUEEN'S GATE GARDENS, LONDON, SW75NF</x:v>
      </x:c>
      <x:c r="L451" s="60" t="str">
        <x:v> SW75NF</x:v>
      </x:c>
      <x:c r="M451" s="60"/>
      <x:c r="N451" s="60" t="str">
        <x:v>SW75NF</x:v>
      </x:c>
      <x:c r="O451" s="61"/>
      <x:c r="P451" s="64" t="str">
        <x:f>IF(OR(O451="",I451=""),"",IFERROR(DATEDIF(O451,I451,"m")/12,""))</x:f>
      </x:c>
      <x:c r="Q451" s="60" t="str">
        <x:v>62, CONIGER ROAD, LONDON, LONDON, SW6 3TA</x:v>
      </x:c>
      <x:c r="R451" s="61"/>
      <x:c r="S451" s="64" t="str">
        <x:f>IF(OR(R451="",X451=""),"",IFERROR(DATEDIF(R451,X451,"m")/12,""))</x:f>
      </x:c>
      <x:c r="T451" s="60" t="str">
        <x:v>DIRECTOR</x:v>
      </x:c>
      <x:c r="U451" s="60" t="str">
        <x:v>BLACK ROCK</x:v>
      </x:c>
      <x:c r="V451" s="60" t="str">
        <x:v>DRAPERS GARDENS, 12 THROGMORTON AVE, LONDON EC2N 2DL</x:v>
      </x:c>
      <x:c r="W451" s="63" t="str">
        <x:v>02077433000</x:v>
      </x:c>
      <x:c r="X451" s="65" t="n">
        <x:f>TODAY()</x:f>
        <x:v>46250</x:v>
      </x:c>
    </x:row>
    <x:row r="452">
      <x:c r="A452" s="59" t="str">
        <x:v>MANNERKOSKI</x:v>
      </x:c>
      <x:c r="B452" s="60" t="str">
        <x:v>MARKS</x:v>
      </x:c>
      <x:c r="C452" s="60"/>
      <x:c r="D452" s="61" t="n">
        <x:v>35859.5</x:v>
      </x:c>
      <x:c r="E452" s="62" t="n">
        <x:f>IF(OR(D452="",X452=""),"",IFERROR(DATEDIF(D452,X452,"y"),""))</x:f>
        <x:v>28</x:v>
      </x:c>
      <x:c r="F452" s="60"/>
      <x:c r="G452" s="63"/>
      <x:c r="H452" s="63"/>
      <x:c r="I452" s="61"/>
      <x:c r="J452" s="64" t="str">
        <x:f>IF(OR(I452="",X452=""),"",IFERROR(DATEDIF(I452,X452,"m")/12,""))</x:f>
      </x:c>
      <x:c r="K452" s="60"/>
      <x:c r="L452" s="60"/>
      <x:c r="M452" s="60"/>
      <x:c r="N452" s="60"/>
      <x:c r="O452" s="61"/>
      <x:c r="P452" s="64" t="str">
        <x:f>IF(OR(O452="",I452=""),"",IFERROR(DATEDIF(O452,I452,"m")/12,""))</x:f>
      </x:c>
      <x:c r="Q452" s="60"/>
      <x:c r="R452" s="61"/>
      <x:c r="S452" s="64" t="str">
        <x:f>IF(OR(R452="",X452=""),"",IFERROR(DATEDIF(R452,X452,"m")/12,""))</x:f>
      </x:c>
      <x:c r="T452" s="60"/>
      <x:c r="U452" s="60"/>
      <x:c r="V452" s="60"/>
      <x:c r="W452" s="63"/>
      <x:c r="X452" s="65" t="n">
        <x:f>TODAY()</x:f>
        <x:v>46250</x:v>
      </x:c>
    </x:row>
    <x:row r="453">
      <x:c r="A453" s="59" t="str">
        <x:v>MANNONI</x:v>
      </x:c>
      <x:c r="B453" s="60" t="str">
        <x:v>MARCO</x:v>
      </x:c>
      <x:c r="C453" s="60"/>
      <x:c r="D453" s="61"/>
      <x:c r="E453" s="62" t="str">
        <x:f>IF(OR(D453="",X453=""),"",IFERROR(DATEDIF(D453,X453,"y"),""))</x:f>
      </x:c>
      <x:c r="F453" s="60"/>
      <x:c r="G453" s="63"/>
      <x:c r="H453" s="63"/>
      <x:c r="I453" s="61"/>
      <x:c r="J453" s="64" t="str">
        <x:f>IF(OR(I453="",X453=""),"",IFERROR(DATEDIF(I453,X453,"m")/12,""))</x:f>
      </x:c>
      <x:c r="K453" s="60" t="str">
        <x:v>FLAT 6, 6 TALBOT SQUARE, LONDON, W2 1TS</x:v>
      </x:c>
      <x:c r="L453" s="60" t="str">
        <x:v> W2 1TS</x:v>
      </x:c>
      <x:c r="M453" s="60"/>
      <x:c r="N453" s="60" t="str">
        <x:v>W2 1TS</x:v>
      </x:c>
      <x:c r="O453" s="61"/>
      <x:c r="P453" s="64" t="str">
        <x:f>IF(OR(O453="",I453=""),"",IFERROR(DATEDIF(O453,I453,"m")/12,""))</x:f>
      </x:c>
      <x:c r="Q453" s="60"/>
      <x:c r="R453" s="61"/>
      <x:c r="S453" s="64" t="str">
        <x:f>IF(OR(R453="",X453=""),"",IFERROR(DATEDIF(R453,X453,"m")/12,""))</x:f>
      </x:c>
      <x:c r="T453" s="60"/>
      <x:c r="U453" s="60" t="str">
        <x:v>CONVERTIZE LTD</x:v>
      </x:c>
      <x:c r="V453" s="60"/>
      <x:c r="W453" s="63"/>
      <x:c r="X453" s="65" t="n">
        <x:f>TODAY()</x:f>
        <x:v>46250</x:v>
      </x:c>
    </x:row>
    <x:row r="454">
      <x:c r="A454" s="59" t="str">
        <x:v>MARC</x:v>
      </x:c>
      <x:c r="B454" s="60" t="str">
        <x:v>SIMON</x:v>
      </x:c>
      <x:c r="C454" s="60"/>
      <x:c r="D454" s="61" t="n">
        <x:v>26838.5</x:v>
      </x:c>
      <x:c r="E454" s="62" t="n">
        <x:f>IF(OR(D454="",X454=""),"",IFERROR(DATEDIF(D454,X454,"y"),""))</x:f>
        <x:v>53</x:v>
      </x:c>
      <x:c r="F454" s="60"/>
      <x:c r="G454" s="63"/>
      <x:c r="H454" s="63"/>
      <x:c r="I454" s="61"/>
      <x:c r="J454" s="64" t="str">
        <x:f>IF(OR(I454="",X454=""),"",IFERROR(DATEDIF(I454,X454,"m")/12,""))</x:f>
      </x:c>
      <x:c r="K454" s="60"/>
      <x:c r="L454" s="60"/>
      <x:c r="M454" s="60"/>
      <x:c r="N454" s="60"/>
      <x:c r="O454" s="61"/>
      <x:c r="P454" s="64" t="str">
        <x:f>IF(OR(O454="",I454=""),"",IFERROR(DATEDIF(O454,I454,"m")/12,""))</x:f>
      </x:c>
      <x:c r="Q454" s="60"/>
      <x:c r="R454" s="61"/>
      <x:c r="S454" s="64" t="str">
        <x:f>IF(OR(R454="",X454=""),"",IFERROR(DATEDIF(R454,X454,"m")/12,""))</x:f>
      </x:c>
      <x:c r="T454" s="60"/>
      <x:c r="U454" s="60"/>
      <x:c r="V454" s="60"/>
      <x:c r="W454" s="63"/>
      <x:c r="X454" s="65" t="n">
        <x:f>TODAY()</x:f>
        <x:v>46250</x:v>
      </x:c>
    </x:row>
    <x:row r="455">
      <x:c r="A455" s="59" t="str">
        <x:v>MARCHAND</x:v>
      </x:c>
      <x:c r="B455" s="60" t="str">
        <x:v>ROHAN</x:v>
      </x:c>
      <x:c r="C455" s="60" t="str">
        <x:v>SERGE SERAPHIN</x:v>
      </x:c>
      <x:c r="D455" s="61" t="n">
        <x:v>27785.5</x:v>
      </x:c>
      <x:c r="E455" s="62" t="n">
        <x:f>IF(OR(D455="",X455=""),"",IFERROR(DATEDIF(D455,X455,"y"),""))</x:f>
        <x:v>50</x:v>
      </x:c>
      <x:c r="F455" s="60"/>
      <x:c r="G455" s="63" t="str">
        <x:v>07983142017</x:v>
      </x:c>
      <x:c r="H455" s="63"/>
      <x:c r="I455" s="61" t="n">
        <x:v>44287.5</x:v>
      </x:c>
      <x:c r="J455" s="64" t="n">
        <x:f>IF(OR(I455="",X455=""),"",IFERROR(DATEDIF(I455,X455,"m")/12,""))</x:f>
        <x:v>5.333333333333333</x:v>
      </x:c>
      <x:c r="K455" s="60" t="str">
        <x:v>FLAT 25 AMBASSADOR COURT, 17-19 CRAVEN TERRACE, LONDON, W2 3QH</x:v>
      </x:c>
      <x:c r="L455" s="60" t="str">
        <x:v> W2 3QH</x:v>
      </x:c>
      <x:c r="M455" s="60"/>
      <x:c r="N455" s="60" t="str">
        <x:v>W2 3QH</x:v>
      </x:c>
      <x:c r="O455" s="61" t="n">
        <x:v>39965.5</x:v>
      </x:c>
      <x:c r="P455" s="64" t="n">
        <x:f>IF(OR(O455="",I455=""),"",IFERROR(DATEDIF(O455,I455,"m")/12,""))</x:f>
        <x:v>11.833333333333334</x:v>
      </x:c>
      <x:c r="Q455" s="60" t="str">
        <x:v>19 KINGSCROFT, KINGS AVENUE, LONDON, SW4 8ED</x:v>
      </x:c>
      <x:c r="R455" s="61" t="n">
        <x:v>44531.5</x:v>
      </x:c>
      <x:c r="S455" s="64" t="n">
        <x:f>IF(OR(R455="",X455=""),"",IFERROR(DATEDIF(R455,X455,"m")/12,""))</x:f>
        <x:v>4.666666666666667</x:v>
      </x:c>
      <x:c r="T455" s="60" t="str">
        <x:v>BUSINESS DEVELOPMENT MANAGER</x:v>
      </x:c>
      <x:c r="U455" s="60" t="str">
        <x:v>EUROPAFOODXB LTD</x:v>
      </x:c>
      <x:c r="V455" s="60" t="str">
        <x:v>73 CORNHILL, LONDON, EC3V 3QQ</x:v>
      </x:c>
      <x:c r="W455" s="63"/>
      <x:c r="X455" s="65" t="n">
        <x:f>TODAY()</x:f>
        <x:v>46250</x:v>
      </x:c>
    </x:row>
    <x:row r="456">
      <x:c r="A456" s="59" t="str">
        <x:v>MARCHIORELLO DAL CORNO</x:v>
      </x:c>
      <x:c r="B456" s="60" t="str">
        <x:v>MICHELANGELO</x:v>
      </x:c>
      <x:c r="C456" s="60"/>
      <x:c r="D456" s="61" t="n">
        <x:v>32869.5</x:v>
      </x:c>
      <x:c r="E456" s="62" t="n">
        <x:f>IF(OR(D456="",X456=""),"",IFERROR(DATEDIF(D456,X456,"y"),""))</x:f>
        <x:v>36</x:v>
      </x:c>
      <x:c r="F456" s="60" t="str">
        <x:v>FERRARI</x:v>
      </x:c>
      <x:c r="G456" s="63"/>
      <x:c r="H456" s="63"/>
      <x:c r="I456" s="61" t="n">
        <x:v>43191.5</x:v>
      </x:c>
      <x:c r="J456" s="64" t="n">
        <x:f>IF(OR(I456="",X456=""),"",IFERROR(DATEDIF(I456,X456,"m")/12,""))</x:f>
        <x:v>8.333333333333334</x:v>
      </x:c>
      <x:c r="K456" s="60" t="str">
        <x:v>FLAT 9, 12A COURTFIELD GARDENS, LONDON, SW50PL</x:v>
      </x:c>
      <x:c r="L456" s="60" t="str">
        <x:v> SW50PL</x:v>
      </x:c>
      <x:c r="M456" s="60"/>
      <x:c r="N456" s="60" t="str">
        <x:v>SW50PL</x:v>
      </x:c>
      <x:c r="O456" s="61" t="n">
        <x:v>41944.5</x:v>
      </x:c>
      <x:c r="P456" s="64" t="n">
        <x:f>IF(OR(O456="",I456=""),"",IFERROR(DATEDIF(O456,I456,"m")/12,""))</x:f>
        <x:v>3.4166666666666665</x:v>
      </x:c>
      <x:c r="Q456" s="60" t="str">
        <x:v>FLAT 37, CHESTER HOUSE, 19, ECCLESTON PLACE, WESTMINSTER, LONDON, SW1W 9NF</x:v>
      </x:c>
      <x:c r="R456" s="61" t="n">
        <x:v>41791.5</x:v>
      </x:c>
      <x:c r="S456" s="64" t="n">
        <x:f>IF(OR(R456="",X456=""),"",IFERROR(DATEDIF(R456,X456,"m")/12,""))</x:f>
        <x:v>12.166666666666666</x:v>
      </x:c>
      <x:c r="T456" s="60" t="str">
        <x:v>OPERATIONS MANAGER</x:v>
      </x:c>
      <x:c r="U456" s="60"/>
      <x:c r="V456" s="60"/>
      <x:c r="W456" s="63"/>
      <x:c r="X456" s="65" t="n">
        <x:f>TODAY()</x:f>
        <x:v>46250</x:v>
      </x:c>
    </x:row>
    <x:row r="457">
      <x:c r="A457" s="59" t="str">
        <x:v>MARINO</x:v>
      </x:c>
      <x:c r="B457" s="60" t="str">
        <x:v>LAURA</x:v>
      </x:c>
      <x:c r="C457" s="60" t="str">
        <x:v>ROSE</x:v>
      </x:c>
      <x:c r="D457" s="61"/>
      <x:c r="E457" s="62" t="str">
        <x:f>IF(OR(D457="",X457=""),"",IFERROR(DATEDIF(D457,X457,"y"),""))</x:f>
      </x:c>
      <x:c r="F457" s="60"/>
      <x:c r="G457" s="63"/>
      <x:c r="H457" s="63"/>
      <x:c r="I457" s="61"/>
      <x:c r="J457" s="64" t="str">
        <x:f>IF(OR(I457="",X457=""),"",IFERROR(DATEDIF(I457,X457,"m")/12,""))</x:f>
      </x:c>
      <x:c r="K457" s="60" t="str">
        <x:v>FLAT 5, 376 NORTH END ROAD, LONDON, SW6 1LY</x:v>
      </x:c>
      <x:c r="L457" s="60" t="str">
        <x:v> SW6 1LY</x:v>
      </x:c>
      <x:c r="M457" s="60"/>
      <x:c r="N457" s="60" t="str">
        <x:v>SW6 1LY</x:v>
      </x:c>
      <x:c r="O457" s="61"/>
      <x:c r="P457" s="64" t="str">
        <x:f>IF(OR(O457="",I457=""),"",IFERROR(DATEDIF(O457,I457,"m")/12,""))</x:f>
      </x:c>
      <x:c r="Q457" s="60"/>
      <x:c r="R457" s="61"/>
      <x:c r="S457" s="64" t="str">
        <x:f>IF(OR(R457="",X457=""),"",IFERROR(DATEDIF(R457,X457,"m")/12,""))</x:f>
      </x:c>
      <x:c r="T457" s="60"/>
      <x:c r="U457" s="60" t="str">
        <x:v>SIEGEL GALE LIMITED</x:v>
      </x:c>
      <x:c r="V457" s="60"/>
      <x:c r="W457" s="63"/>
      <x:c r="X457" s="65" t="n">
        <x:f>TODAY()</x:f>
        <x:v>46250</x:v>
      </x:c>
    </x:row>
    <x:row r="458">
      <x:c r="A458" s="59" t="str">
        <x:v>MARKHAM</x:v>
      </x:c>
      <x:c r="B458" s="60" t="str">
        <x:v>CHARLES</x:v>
      </x:c>
      <x:c r="C458" s="60"/>
      <x:c r="D458" s="61"/>
      <x:c r="E458" s="62" t="str">
        <x:f>IF(OR(D458="",X458=""),"",IFERROR(DATEDIF(D458,X458,"y"),""))</x:f>
      </x:c>
      <x:c r="F458" s="60"/>
      <x:c r="G458" s="63"/>
      <x:c r="H458" s="63"/>
      <x:c r="I458" s="61"/>
      <x:c r="J458" s="64" t="str">
        <x:f>IF(OR(I458="",X458=""),"",IFERROR(DATEDIF(I458,X458,"m")/12,""))</x:f>
      </x:c>
      <x:c r="K458" s="60"/>
      <x:c r="L458" s="60"/>
      <x:c r="M458" s="60"/>
      <x:c r="N458" s="60"/>
      <x:c r="O458" s="61"/>
      <x:c r="P458" s="64" t="str">
        <x:f>IF(OR(O458="",I458=""),"",IFERROR(DATEDIF(O458,I458,"m")/12,""))</x:f>
      </x:c>
      <x:c r="Q458" s="60"/>
      <x:c r="R458" s="61"/>
      <x:c r="S458" s="64" t="str">
        <x:f>IF(OR(R458="",X458=""),"",IFERROR(DATEDIF(R458,X458,"m")/12,""))</x:f>
      </x:c>
      <x:c r="T458" s="60"/>
      <x:c r="U458" s="60"/>
      <x:c r="V458" s="60"/>
      <x:c r="W458" s="63"/>
      <x:c r="X458" s="65" t="n">
        <x:f>TODAY()</x:f>
        <x:v>46250</x:v>
      </x:c>
    </x:row>
    <x:row r="459">
      <x:c r="A459" s="59" t="str">
        <x:v>MARKHAM</x:v>
      </x:c>
      <x:c r="B459" s="60" t="str">
        <x:v>MATTHEW</x:v>
      </x:c>
      <x:c r="C459" s="60" t="str">
        <x:v>RICHARD</x:v>
      </x:c>
      <x:c r="D459" s="61" t="n">
        <x:v>33838.5</x:v>
      </x:c>
      <x:c r="E459" s="62" t="n">
        <x:f>IF(OR(D459="",X459=""),"",IFERROR(DATEDIF(D459,X459,"y"),""))</x:f>
        <x:v>33</x:v>
      </x:c>
      <x:c r="F459" s="60" t="str">
        <x:v>DUNN</x:v>
      </x:c>
      <x:c r="G459" s="63"/>
      <x:c r="H459" s="63"/>
      <x:c r="I459" s="61"/>
      <x:c r="J459" s="64" t="str">
        <x:f>IF(OR(I459="",X459=""),"",IFERROR(DATEDIF(I459,X459,"m")/12,""))</x:f>
      </x:c>
      <x:c r="K459" s="60"/>
      <x:c r="L459" s="60"/>
      <x:c r="M459" s="60"/>
      <x:c r="N459" s="60"/>
      <x:c r="O459" s="61"/>
      <x:c r="P459" s="64" t="str">
        <x:f>IF(OR(O459="",I459=""),"",IFERROR(DATEDIF(O459,I459,"m")/12,""))</x:f>
      </x:c>
      <x:c r="Q459" s="60"/>
      <x:c r="R459" s="61"/>
      <x:c r="S459" s="64" t="str">
        <x:f>IF(OR(R459="",X459=""),"",IFERROR(DATEDIF(R459,X459,"m")/12,""))</x:f>
      </x:c>
      <x:c r="T459" s="60"/>
      <x:c r="U459" s="60"/>
      <x:c r="V459" s="60"/>
      <x:c r="W459" s="63"/>
      <x:c r="X459" s="65" t="n">
        <x:f>TODAY()</x:f>
        <x:v>46250</x:v>
      </x:c>
    </x:row>
    <x:row r="460">
      <x:c r="A460" s="59" t="str">
        <x:v>MARRAKCHI</x:v>
      </x:c>
      <x:c r="B460" s="60" t="str">
        <x:v>HAMZA</x:v>
      </x:c>
      <x:c r="C460" s="60"/>
      <x:c r="D460" s="61" t="n">
        <x:v>36419.5</x:v>
      </x:c>
      <x:c r="E460" s="62" t="n">
        <x:f>IF(OR(D460="",X460=""),"",IFERROR(DATEDIF(D460,X460,"y"),""))</x:f>
        <x:v>26</x:v>
      </x:c>
      <x:c r="F460" s="60"/>
      <x:c r="G460" s="63" t="str">
        <x:v>07748683293</x:v>
      </x:c>
      <x:c r="H460" s="63"/>
      <x:c r="I460" s="61" t="n">
        <x:v>43678.5</x:v>
      </x:c>
      <x:c r="J460" s="64" t="n">
        <x:f>IF(OR(I460="",X460=""),"",IFERROR(DATEDIF(I460,X460,"m")/12,""))</x:f>
        <x:v>7</x:v>
      </x:c>
      <x:c r="K460" s="60" t="str">
        <x:v>FLAT E, 47 QUEENS GATE, LONDON, SW7 5JN</x:v>
      </x:c>
      <x:c r="L460" s="60" t="str">
        <x:v> SW7 5JN</x:v>
      </x:c>
      <x:c r="M460" s="60"/>
      <x:c r="N460" s="60" t="str">
        <x:v>SW7 5JN</x:v>
      </x:c>
      <x:c r="O460" s="61" t="n">
        <x:v>43344.5</x:v>
      </x:c>
      <x:c r="P460" s="64" t="n">
        <x:f>IF(OR(O460="",I460=""),"",IFERROR(DATEDIF(O460,I460,"m")/12,""))</x:f>
        <x:v>0.9166666666666666</x:v>
      </x:c>
      <x:c r="Q460" s="60" t="str">
        <x:v>SELKIRK HALL, IMPERIAL COLLEGE LONDON, PRINCES GARDENS, LONDON, SW7 1BF</x:v>
      </x:c>
      <x:c r="R460" s="61" t="n">
        <x:v>45383.5</x:v>
      </x:c>
      <x:c r="S460" s="64" t="n">
        <x:f>IF(OR(R460="",X460=""),"",IFERROR(DATEDIF(R460,X460,"m")/12,""))</x:f>
        <x:v>2.3333333333333335</x:v>
      </x:c>
      <x:c r="T460" s="60"/>
      <x:c r="U460" s="60" t="str">
        <x:v>BALYASNY ASSET MANAGEMENT L.P.</x:v>
      </x:c>
      <x:c r="V460" s="60" t="str">
        <x:v>23 KING STREET, LONDON SW1Y 6QY</x:v>
      </x:c>
      <x:c r="W460" s="63" t="str">
        <x:v>020 7149 0000</x:v>
      </x:c>
      <x:c r="X460" s="65" t="n">
        <x:f>TODAY()</x:f>
        <x:v>46250</x:v>
      </x:c>
    </x:row>
    <x:row r="461">
      <x:c r="A461" s="59" t="str">
        <x:v>MARTENS</x:v>
      </x:c>
      <x:c r="B461" s="60" t="str">
        <x:v>ALEJANDRO</x:v>
      </x:c>
      <x:c r="C461" s="60" t="str">
        <x:v>BEEN</x:v>
      </x:c>
      <x:c r="D461" s="61" t="n">
        <x:v>35368.5</x:v>
      </x:c>
      <x:c r="E461" s="62" t="n">
        <x:f>IF(OR(D461="",X461=""),"",IFERROR(DATEDIF(D461,X461,"y"),""))</x:f>
        <x:v>29</x:v>
      </x:c>
      <x:c r="F461" s="60"/>
      <x:c r="G461" s="63"/>
      <x:c r="H461" s="63"/>
      <x:c r="I461" s="61"/>
      <x:c r="J461" s="64" t="str">
        <x:f>IF(OR(I461="",X461=""),"",IFERROR(DATEDIF(I461,X461,"m")/12,""))</x:f>
      </x:c>
      <x:c r="K461" s="60" t="str">
        <x:v>FLAT 1,84 KENSINGTON GARDENS SQUARE,LONDON, W2 4DJ</x:v>
      </x:c>
      <x:c r="L461" s="60" t="str">
        <x:v> W2 4DJ</x:v>
      </x:c>
      <x:c r="M461" s="60"/>
      <x:c r="N461" s="60" t="str">
        <x:v>W2 4DJ</x:v>
      </x:c>
      <x:c r="O461" s="61"/>
      <x:c r="P461" s="64" t="str">
        <x:f>IF(OR(O461="",I461=""),"",IFERROR(DATEDIF(O461,I461,"m")/12,""))</x:f>
      </x:c>
      <x:c r="Q461" s="60"/>
      <x:c r="R461" s="61"/>
      <x:c r="S461" s="64" t="str">
        <x:f>IF(OR(R461="",X461=""),"",IFERROR(DATEDIF(R461,X461,"m")/12,""))</x:f>
      </x:c>
      <x:c r="T461" s="60"/>
      <x:c r="U461" s="60"/>
      <x:c r="V461" s="60"/>
      <x:c r="W461" s="63"/>
      <x:c r="X461" s="65" t="n">
        <x:f>TODAY()</x:f>
        <x:v>46250</x:v>
      </x:c>
    </x:row>
    <x:row r="462">
      <x:c r="A462" s="59" t="str">
        <x:v>MARTORANA</x:v>
      </x:c>
      <x:c r="B462" s="60" t="str">
        <x:v>CLAUDIA</x:v>
      </x:c>
      <x:c r="C462" s="60"/>
      <x:c r="D462" s="61"/>
      <x:c r="E462" s="62" t="str">
        <x:f>IF(OR(D462="",X462=""),"",IFERROR(DATEDIF(D462,X462,"y"),""))</x:f>
      </x:c>
      <x:c r="F462" s="60"/>
      <x:c r="G462" s="63"/>
      <x:c r="H462" s="63"/>
      <x:c r="I462" s="61" t="n">
        <x:v>44652.5</x:v>
      </x:c>
      <x:c r="J462" s="64" t="n">
        <x:f>IF(OR(I462="",X462=""),"",IFERROR(DATEDIF(I462,X462,"m")/12,""))</x:f>
        <x:v>4.333333333333333</x:v>
      </x:c>
      <x:c r="K462" s="60" t="str">
        <x:v>FLAT 3, 27 CLEVELAND SQUARE, LONDON, W26DD</x:v>
      </x:c>
      <x:c r="L462" s="60" t="str">
        <x:v> W26DD</x:v>
      </x:c>
      <x:c r="M462" s="60"/>
      <x:c r="N462" s="60" t="str">
        <x:v>W26DD</x:v>
      </x:c>
      <x:c r="O462" s="61"/>
      <x:c r="P462" s="64" t="str">
        <x:f>IF(OR(O462="",I462=""),"",IFERROR(DATEDIF(O462,I462,"m")/12,""))</x:f>
      </x:c>
      <x:c r="Q462" s="60"/>
      <x:c r="R462" s="61" t="n">
        <x:v>43040.5</x:v>
      </x:c>
      <x:c r="S462" s="64" t="n">
        <x:f>IF(OR(R462="",X462=""),"",IFERROR(DATEDIF(R462,X462,"m")/12,""))</x:f>
        <x:v>8.75</x:v>
      </x:c>
      <x:c r="T462" s="60" t="str">
        <x:v>BUSINESS DEVELOPMENT MANAGER</x:v>
      </x:c>
      <x:c r="U462" s="60" t="str">
        <x:v>IFF TRAINING</x:v>
      </x:c>
      <x:c r="V462" s="60"/>
      <x:c r="W462" s="63"/>
      <x:c r="X462" s="65" t="n">
        <x:f>TODAY()</x:f>
        <x:v>46250</x:v>
      </x:c>
    </x:row>
    <x:row r="463">
      <x:c r="A463" s="59" t="str">
        <x:v>MASRI</x:v>
      </x:c>
      <x:c r="B463" s="60" t="str">
        <x:v>REBECCA</x:v>
      </x:c>
      <x:c r="C463" s="60" t="str">
        <x:v>BERTHA</x:v>
      </x:c>
      <x:c r="D463" s="61" t="n">
        <x:v>30158.5</x:v>
      </x:c>
      <x:c r="E463" s="62" t="n">
        <x:f>IF(OR(D463="",X463=""),"",IFERROR(DATEDIF(D463,X463,"y"),""))</x:f>
        <x:v>44</x:v>
      </x:c>
      <x:c r="F463" s="60" t="str">
        <x:v>DANGOOR</x:v>
      </x:c>
      <x:c r="G463" s="63"/>
      <x:c r="H463" s="63"/>
      <x:c r="I463" s="61" t="n">
        <x:v>42826.5</x:v>
      </x:c>
      <x:c r="J463" s="64" t="n">
        <x:f>IF(OR(I463="",X463=""),"",IFERROR(DATEDIF(I463,X463,"m")/12,""))</x:f>
        <x:v>9.333333333333334</x:v>
      </x:c>
      <x:c r="K463" s="60" t="str">
        <x:v>68 GREAT CUMBERLAND P[LACE, LONDON, W1H 7TX</x:v>
      </x:c>
      <x:c r="L463" s="60" t="str">
        <x:v> W1H 7TX</x:v>
      </x:c>
      <x:c r="M463" s="60"/>
      <x:c r="N463" s="60" t="str">
        <x:v>W1H 7TX</x:v>
      </x:c>
      <x:c r="O463" s="61"/>
      <x:c r="P463" s="64" t="str">
        <x:f>IF(OR(O463="",I463=""),"",IFERROR(DATEDIF(O463,I463,"m")/12,""))</x:f>
      </x:c>
      <x:c r="Q463" s="60"/>
      <x:c r="R463" s="61" t="n">
        <x:v>39814.5</x:v>
      </x:c>
      <x:c r="S463" s="64" t="n">
        <x:f>IF(OR(R463="",X463=""),"",IFERROR(DATEDIF(R463,X463,"m")/12,""))</x:f>
        <x:v>17.583333333333332</x:v>
      </x:c>
      <x:c r="T463" s="60" t="str">
        <x:v>DIRECTOR</x:v>
      </x:c>
      <x:c r="U463" s="60" t="str">
        <x:v>LITTLE EMPERORS &amp; CO. LIMITED</x:v>
      </x:c>
      <x:c r="V463" s="60"/>
      <x:c r="W463" s="63"/>
      <x:c r="X463" s="65" t="n">
        <x:f>TODAY()</x:f>
        <x:v>46250</x:v>
      </x:c>
    </x:row>
    <x:row r="464">
      <x:c r="A464" s="59" t="str">
        <x:v>MASSEY</x:v>
      </x:c>
      <x:c r="B464" s="60" t="str">
        <x:v>WILLIAM</x:v>
      </x:c>
      <x:c r="C464" s="60"/>
      <x:c r="D464" s="61" t="n">
        <x:v>36238.5</x:v>
      </x:c>
      <x:c r="E464" s="62" t="n">
        <x:f>IF(OR(D464="",X464=""),"",IFERROR(DATEDIF(D464,X464,"y"),""))</x:f>
        <x:v>27</x:v>
      </x:c>
      <x:c r="F464" s="60"/>
      <x:c r="G464" s="63"/>
      <x:c r="H464" s="63"/>
      <x:c r="I464" s="61"/>
      <x:c r="J464" s="64" t="str">
        <x:f>IF(OR(I464="",X464=""),"",IFERROR(DATEDIF(I464,X464,"m")/12,""))</x:f>
      </x:c>
      <x:c r="K464" s="60"/>
      <x:c r="L464" s="60"/>
      <x:c r="M464" s="60"/>
      <x:c r="N464" s="60"/>
      <x:c r="O464" s="61"/>
      <x:c r="P464" s="64" t="str">
        <x:f>IF(OR(O464="",I464=""),"",IFERROR(DATEDIF(O464,I464,"m")/12,""))</x:f>
      </x:c>
      <x:c r="Q464" s="60" t="str">
        <x:v>MASSEY</x:v>
      </x:c>
      <x:c r="R464" s="61"/>
      <x:c r="S464" s="64" t="str">
        <x:f>IF(OR(R464="",X464=""),"",IFERROR(DATEDIF(R464,X464,"m")/12,""))</x:f>
      </x:c>
      <x:c r="T464" s="60"/>
      <x:c r="U464" s="60"/>
      <x:c r="V464" s="60"/>
      <x:c r="W464" s="63"/>
      <x:c r="X464" s="65" t="n">
        <x:f>TODAY()</x:f>
        <x:v>46250</x:v>
      </x:c>
    </x:row>
    <x:row r="465">
      <x:c r="A465" s="59" t="str">
        <x:v>MASTERS</x:v>
      </x:c>
      <x:c r="B465" s="60" t="str">
        <x:v>DANIEL</x:v>
      </x:c>
      <x:c r="C465" s="60" t="str">
        <x:v>CHRISTOPHER</x:v>
      </x:c>
      <x:c r="D465" s="61"/>
      <x:c r="E465" s="62" t="str">
        <x:f>IF(OR(D465="",X465=""),"",IFERROR(DATEDIF(D465,X465,"y"),""))</x:f>
      </x:c>
      <x:c r="F465" s="60" t="str">
        <x:v>WOOLER</x:v>
      </x:c>
      <x:c r="G465" s="63"/>
      <x:c r="H465" s="63"/>
      <x:c r="I465" s="61"/>
      <x:c r="J465" s="64" t="str">
        <x:f>IF(OR(I465="",X465=""),"",IFERROR(DATEDIF(I465,X465,"m")/12,""))</x:f>
      </x:c>
      <x:c r="K465" s="60" t="str">
        <x:v>FLAT 30, 55 CLEVELAND SQUARE, LONDON,W2 6DB</x:v>
      </x:c>
      <x:c r="L465" s="60" t="str">
        <x:v>W2 6DB</x:v>
      </x:c>
      <x:c r="M465" s="60"/>
      <x:c r="N465" s="60" t="str">
        <x:v>W2 6DB</x:v>
      </x:c>
      <x:c r="O465" s="61"/>
      <x:c r="P465" s="64" t="str">
        <x:f>IF(OR(O465="",I465=""),"",IFERROR(DATEDIF(O465,I465,"m")/12,""))</x:f>
      </x:c>
      <x:c r="Q465" s="60"/>
      <x:c r="R465" s="61"/>
      <x:c r="S465" s="64" t="str">
        <x:f>IF(OR(R465="",X465=""),"",IFERROR(DATEDIF(R465,X465,"m")/12,""))</x:f>
      </x:c>
      <x:c r="T465" s="60"/>
      <x:c r="U465" s="60"/>
      <x:c r="V465" s="60"/>
      <x:c r="W465" s="63"/>
      <x:c r="X465" s="65" t="n">
        <x:f>TODAY()</x:f>
        <x:v>46250</x:v>
      </x:c>
    </x:row>
    <x:row r="466">
      <x:c r="A466" s="59" t="str">
        <x:v>MATTAN</x:v>
      </x:c>
      <x:c r="B466" s="60" t="str">
        <x:v>GARY</x:v>
      </x:c>
      <x:c r="C466" s="60"/>
      <x:c r="D466" s="61" t="n">
        <x:v>23235.5</x:v>
      </x:c>
      <x:c r="E466" s="62" t="n">
        <x:f>IF(OR(D466="",X466=""),"",IFERROR(DATEDIF(D466,X466,"y"),""))</x:f>
        <x:v>63</x:v>
      </x:c>
      <x:c r="F466" s="60"/>
      <x:c r="G466" s="63" t="str">
        <x:v>07443848174</x:v>
      </x:c>
      <x:c r="H466" s="63"/>
      <x:c r="I466" s="61" t="n">
        <x:v>43221.5</x:v>
      </x:c>
      <x:c r="J466" s="64" t="n">
        <x:f>IF(OR(I466="",X466=""),"",IFERROR(DATEDIF(I466,X466,"m")/12,""))</x:f>
        <x:v>8.25</x:v>
      </x:c>
      <x:c r="K466" s="60" t="str">
        <x:v>FLAT 2, 8-10 CRANLEY GARDENS, LONDON, SW7 3DA</x:v>
      </x:c>
      <x:c r="L466" s="60" t="str">
        <x:v> SW7 3DA</x:v>
      </x:c>
      <x:c r="M466" s="60"/>
      <x:c r="N466" s="60" t="str">
        <x:v>SW7 3DA</x:v>
      </x:c>
      <x:c r="O466" s="61"/>
      <x:c r="P466" s="64" t="str">
        <x:f>IF(OR(O466="",I466=""),"",IFERROR(DATEDIF(O466,I466,"m")/12,""))</x:f>
      </x:c>
      <x:c r="Q466" s="60"/>
      <x:c r="R466" s="61" t="n">
        <x:v>36647.5</x:v>
      </x:c>
      <x:c r="S466" s="64" t="n">
        <x:f>IF(OR(R466="",X466=""),"",IFERROR(DATEDIF(R466,X466,"m")/12,""))</x:f>
        <x:v>26.25</x:v>
      </x:c>
      <x:c r="T466" s="60" t="str">
        <x:v>MANAGING DIRECTOR</x:v>
      </x:c>
      <x:c r="U466" s="60" t="str">
        <x:v>BMO CAPITAL MARKETS</x:v>
      </x:c>
      <x:c r="V466" s="60"/>
      <x:c r="W466" s="63"/>
      <x:c r="X466" s="65" t="n">
        <x:f>TODAY()</x:f>
        <x:v>46250</x:v>
      </x:c>
    </x:row>
    <x:row r="467">
      <x:c r="A467" s="59" t="str">
        <x:v>MAXIMCHUK</x:v>
      </x:c>
      <x:c r="B467" s="60" t="str">
        <x:v>KATHERINE</x:v>
      </x:c>
      <x:c r="C467" s="60" t="str">
        <x:v>MARIE</x:v>
      </x:c>
      <x:c r="D467" s="61" t="n">
        <x:v>34199.5</x:v>
      </x:c>
      <x:c r="E467" s="62" t="n">
        <x:f>IF(OR(D467="",X467=""),"",IFERROR(DATEDIF(D467,X467,"y"),""))</x:f>
        <x:v>32</x:v>
      </x:c>
      <x:c r="F467" s="60" t="str">
        <x:v>MCDONALD</x:v>
      </x:c>
      <x:c r="G467" s="63" t="str">
        <x:v>07553416093</x:v>
      </x:c>
      <x:c r="H467" s="63"/>
      <x:c r="I467" s="61" t="n">
        <x:v>44470.5</x:v>
      </x:c>
      <x:c r="J467" s="64" t="n">
        <x:f>IF(OR(I467="",X467=""),"",IFERROR(DATEDIF(I467,X467,"m")/12,""))</x:f>
        <x:v>4.833333333333333</x:v>
      </x:c>
      <x:c r="K467" s="60" t="str">
        <x:v>FLAT 3, 15 CAVENDISH ROAD, LONDON, ENGLAND, NW6 7XT</x:v>
      </x:c>
      <x:c r="L467" s="60" t="str">
        <x:v> ENGLAND, NW6 7XT</x:v>
      </x:c>
      <x:c r="M467" s="60"/>
      <x:c r="N467" s="60" t="str">
        <x:v> NW6 7XT</x:v>
      </x:c>
      <x:c r="O467" s="61" t="n">
        <x:v>43221.5</x:v>
      </x:c>
      <x:c r="P467" s="64" t="n">
        <x:f>IF(OR(O467="",I467=""),"",IFERROR(DATEDIF(O467,I467,"m")/12,""))</x:f>
        <x:v>3.4166666666666665</x:v>
      </x:c>
      <x:c r="Q467" s="60" t="str">
        <x:v>FLAT 5, CLARK HOUSE 328 FINCHLEY ROAD, LONDON, NW3 7AT</x:v>
      </x:c>
      <x:c r="R467" s="61" t="n">
        <x:v>44958.5</x:v>
      </x:c>
      <x:c r="S467" s="64" t="n">
        <x:f>IF(OR(R467="",X467=""),"",IFERROR(DATEDIF(R467,X467,"m")/12,""))</x:f>
        <x:v>3.5</x:v>
      </x:c>
      <x:c r="T467" s="60" t="str">
        <x:v>MANAGER</x:v>
      </x:c>
      <x:c r="U467" s="60" t="str">
        <x:v>COMMVERSION</x:v>
      </x:c>
      <x:c r="V467" s="60" t="str">
        <x:v>126 NEW KING'S ROAD, LONDON, SW6 4LZ</x:v>
      </x:c>
      <x:c r="W467" s="63"/>
      <x:c r="X467" s="65" t="n">
        <x:f>TODAY()</x:f>
        <x:v>46250</x:v>
      </x:c>
    </x:row>
    <x:row r="468">
      <x:c r="A468" s="59" t="str">
        <x:v>MC EVOY</x:v>
      </x:c>
      <x:c r="B468" s="60" t="str">
        <x:v>CIARA</x:v>
      </x:c>
      <x:c r="C468" s="60" t="str">
        <x:v>ELIZABETH</x:v>
      </x:c>
      <x:c r="D468" s="61"/>
      <x:c r="E468" s="62" t="str">
        <x:f>IF(OR(D468="",X468=""),"",IFERROR(DATEDIF(D468,X468,"y"),""))</x:f>
      </x:c>
      <x:c r="F468" s="60"/>
      <x:c r="G468" s="63"/>
      <x:c r="H468" s="63"/>
      <x:c r="I468" s="61"/>
      <x:c r="J468" s="64" t="str">
        <x:f>IF(OR(I468="",X468=""),"",IFERROR(DATEDIF(I468,X468,"m")/12,""))</x:f>
      </x:c>
      <x:c r="K468" s="60" t="str">
        <x:v>56 MUNSTER ROAD, LONDON, SW6 4EP</x:v>
      </x:c>
      <x:c r="L468" s="60" t="str">
        <x:v> SW6 4EP</x:v>
      </x:c>
      <x:c r="M468" s="60"/>
      <x:c r="N468" s="60" t="str">
        <x:v>SW6 4EP</x:v>
      </x:c>
      <x:c r="O468" s="61"/>
      <x:c r="P468" s="64" t="str">
        <x:f>IF(OR(O468="",I468=""),"",IFERROR(DATEDIF(O468,I468,"m")/12,""))</x:f>
      </x:c>
      <x:c r="Q468" s="60"/>
      <x:c r="R468" s="61"/>
      <x:c r="S468" s="64" t="str">
        <x:f>IF(OR(R468="",X468=""),"",IFERROR(DATEDIF(R468,X468,"m")/12,""))</x:f>
      </x:c>
      <x:c r="T468" s="60"/>
      <x:c r="U468" s="60" t="str">
        <x:v>PROCTER&amp;GAMBLE TECHNICAL CENTRE</x:v>
      </x:c>
      <x:c r="V468" s="60"/>
      <x:c r="W468" s="63"/>
      <x:c r="X468" s="65" t="n">
        <x:f>TODAY()</x:f>
        <x:v>46250</x:v>
      </x:c>
    </x:row>
    <x:row r="469">
      <x:c r="A469" s="59" t="str">
        <x:v>MCBRAIN</x:v>
      </x:c>
      <x:c r="B469" s="60" t="str">
        <x:v>ROBERT</x:v>
      </x:c>
      <x:c r="C469" s="60" t="str">
        <x:v>GEORGE</x:v>
      </x:c>
      <x:c r="D469" s="61" t="n">
        <x:v>23901.5</x:v>
      </x:c>
      <x:c r="E469" s="62" t="n">
        <x:f>IF(OR(D469="",X469=""),"",IFERROR(DATEDIF(D469,X469,"y"),""))</x:f>
        <x:v>61</x:v>
      </x:c>
      <x:c r="F469" s="60" t="str">
        <x:v>MCBRAIN</x:v>
      </x:c>
      <x:c r="G469" s="63"/>
      <x:c r="H469" s="63"/>
      <x:c r="I469" s="61" t="n">
        <x:v>34547.5</x:v>
      </x:c>
      <x:c r="J469" s="64" t="n">
        <x:f>IF(OR(I469="",X469=""),"",IFERROR(DATEDIF(I469,X469,"m")/12,""))</x:f>
        <x:v>32</x:v>
      </x:c>
      <x:c r="K469" s="60" t="str">
        <x:v>FLAT 1, 118 CLAPHAM COMMON WEST SIDE ,LONDON, SW49BA</x:v>
      </x:c>
      <x:c r="L469" s="60" t="str">
        <x:v> SW49BA</x:v>
      </x:c>
      <x:c r="M469" s="60"/>
      <x:c r="N469" s="60" t="str">
        <x:v>SW49BA</x:v>
      </x:c>
      <x:c r="O469" s="61"/>
      <x:c r="P469" s="64" t="str">
        <x:f>IF(OR(O469="",I469=""),"",IFERROR(DATEDIF(O469,I469,"m")/12,""))</x:f>
      </x:c>
      <x:c r="Q469" s="60"/>
      <x:c r="R469" s="61"/>
      <x:c r="S469" s="64" t="str">
        <x:f>IF(OR(R469="",X469=""),"",IFERROR(DATEDIF(R469,X469,"m")/12,""))</x:f>
      </x:c>
      <x:c r="T469" s="60" t="str">
        <x:v>MARKETING AND ADVERTISING CONSULTANT</x:v>
      </x:c>
      <x:c r="U469" s="60" t="str">
        <x:v>WPP UK</x:v>
      </x:c>
      <x:c r="V469" s="60" t="str">
        <x:v>SEA CONTAINERS, 18 UPPER GROUND, LONDON, SE1 9GL</x:v>
      </x:c>
      <x:c r="W469" s="63" t="str">
        <x:v>020 7282 4600</x:v>
      </x:c>
      <x:c r="X469" s="65" t="n">
        <x:f>TODAY()</x:f>
        <x:v>46250</x:v>
      </x:c>
    </x:row>
    <x:row r="470">
      <x:c r="A470" s="59" t="str">
        <x:v>MCCORMICK</x:v>
      </x:c>
      <x:c r="B470" s="60" t="str">
        <x:v>SAM</x:v>
      </x:c>
      <x:c r="C470" s="60"/>
      <x:c r="D470" s="61"/>
      <x:c r="E470" s="62" t="str">
        <x:f>IF(OR(D470="",X470=""),"",IFERROR(DATEDIF(D470,X470,"y"),""))</x:f>
      </x:c>
      <x:c r="F470" s="60" t="str">
        <x:v>MCCORMICK</x:v>
      </x:c>
      <x:c r="G470" s="63"/>
      <x:c r="H470" s="63"/>
      <x:c r="I470" s="61"/>
      <x:c r="J470" s="64" t="str">
        <x:f>IF(OR(I470="",X470=""),"",IFERROR(DATEDIF(I470,X470,"m")/12,""))</x:f>
      </x:c>
      <x:c r="K470" s="60" t="str">
        <x:v>7 WINDMILL DRIVE, LONDON, SW4 9DE</x:v>
      </x:c>
      <x:c r="L470" s="60" t="str">
        <x:v> SW4 9DE</x:v>
      </x:c>
      <x:c r="M470" s="60"/>
      <x:c r="N470" s="60" t="str">
        <x:v>SW4 9DE</x:v>
      </x:c>
      <x:c r="O470" s="61"/>
      <x:c r="P470" s="64" t="str">
        <x:f>IF(OR(O470="",I470=""),"",IFERROR(DATEDIF(O470,I470,"m")/12,""))</x:f>
      </x:c>
      <x:c r="Q470" s="60"/>
      <x:c r="R470" s="61"/>
      <x:c r="S470" s="64" t="str">
        <x:f>IF(OR(R470="",X470=""),"",IFERROR(DATEDIF(R470,X470,"m")/12,""))</x:f>
      </x:c>
      <x:c r="T470" s="60"/>
      <x:c r="U470" s="60"/>
      <x:c r="V470" s="60"/>
      <x:c r="W470" s="63"/>
      <x:c r="X470" s="65" t="n">
        <x:f>TODAY()</x:f>
        <x:v>46250</x:v>
      </x:c>
    </x:row>
    <x:row r="471">
      <x:c r="A471" s="59" t="str">
        <x:v>MCDERMOTT</x:v>
      </x:c>
      <x:c r="B471" s="60" t="str">
        <x:v>LAUREN</x:v>
      </x:c>
      <x:c r="C471" s="60" t="str">
        <x:v>MELISSA</x:v>
      </x:c>
      <x:c r="D471" s="61"/>
      <x:c r="E471" s="62" t="str">
        <x:f>IF(OR(D471="",X471=""),"",IFERROR(DATEDIF(D471,X471,"y"),""))</x:f>
      </x:c>
      <x:c r="F471" s="60"/>
      <x:c r="G471" s="63"/>
      <x:c r="H471" s="63"/>
      <x:c r="I471" s="61"/>
      <x:c r="J471" s="64" t="str">
        <x:f>IF(OR(I471="",X471=""),"",IFERROR(DATEDIF(I471,X471,"m")/12,""))</x:f>
      </x:c>
      <x:c r="K471" s="60"/>
      <x:c r="L471" s="60"/>
      <x:c r="M471" s="60"/>
      <x:c r="N471" s="60"/>
      <x:c r="O471" s="61"/>
      <x:c r="P471" s="64" t="str">
        <x:f>IF(OR(O471="",I471=""),"",IFERROR(DATEDIF(O471,I471,"m")/12,""))</x:f>
      </x:c>
      <x:c r="Q471" s="60"/>
      <x:c r="R471" s="61"/>
      <x:c r="S471" s="64" t="str">
        <x:f>IF(OR(R471="",X471=""),"",IFERROR(DATEDIF(R471,X471,"m")/12,""))</x:f>
      </x:c>
      <x:c r="T471" s="60"/>
      <x:c r="U471" s="60"/>
      <x:c r="V471" s="60"/>
      <x:c r="W471" s="63"/>
      <x:c r="X471" s="65" t="n">
        <x:f>TODAY()</x:f>
        <x:v>46250</x:v>
      </x:c>
    </x:row>
    <x:row r="472">
      <x:c r="A472" s="59" t="str">
        <x:v>MCFARLANE</x:v>
      </x:c>
      <x:c r="B472" s="60" t="str">
        <x:v>EMMA</x:v>
      </x:c>
      <x:c r="C472" s="60" t="str">
        <x:v>LOUISE</x:v>
      </x:c>
      <x:c r="D472" s="61" t="n">
        <x:v>25172.5</x:v>
      </x:c>
      <x:c r="E472" s="62" t="n">
        <x:f>IF(OR(D472="",X472=""),"",IFERROR(DATEDIF(D472,X472,"y"),""))</x:f>
        <x:v>57</x:v>
      </x:c>
      <x:c r="F472" s="60" t="str">
        <x:v>MORRISON</x:v>
      </x:c>
      <x:c r="G472" s="63" t="str">
        <x:v>07951284265</x:v>
      </x:c>
      <x:c r="H472" s="63"/>
      <x:c r="I472" s="61" t="n">
        <x:v>36312.5</x:v>
      </x:c>
      <x:c r="J472" s="64" t="n">
        <x:f>IF(OR(I472="",X472=""),"",IFERROR(DATEDIF(I472,X472,"m")/12,""))</x:f>
        <x:v>27.166666666666668</x:v>
      </x:c>
      <x:c r="K472" s="60" t="str">
        <x:v>32 STANMER STREET, LONDON, SW11 3EG</x:v>
      </x:c>
      <x:c r="L472" s="60" t="str">
        <x:v> SW11 3EG</x:v>
      </x:c>
      <x:c r="M472" s="60"/>
      <x:c r="N472" s="60" t="str">
        <x:v>SW11 3EG</x:v>
      </x:c>
      <x:c r="O472" s="61"/>
      <x:c r="P472" s="64" t="str">
        <x:f>IF(OR(O472="",I472=""),"",IFERROR(DATEDIF(O472,I472,"m")/12,""))</x:f>
      </x:c>
      <x:c r="Q472" s="60"/>
      <x:c r="R472" s="61" t="n">
        <x:v>40787.5</x:v>
      </x:c>
      <x:c r="S472" s="64" t="n">
        <x:f>IF(OR(R472="",X472=""),"",IFERROR(DATEDIF(R472,X472,"m")/12,""))</x:f>
        <x:v>14.916666666666666</x:v>
      </x:c>
      <x:c r="T472" s="60" t="str">
        <x:v>ACCOUNT EXECUTIVE</x:v>
      </x:c>
      <x:c r="U472" s="60" t="str">
        <x:v>NEXANTECA LIMITED</x:v>
      </x:c>
      <x:c r="V472" s="60" t="str">
        <x:v>110 CANNON STREET, LONDON EC4N 6EU</x:v>
      </x:c>
      <x:c r="W472" s="63"/>
      <x:c r="X472" s="65" t="n">
        <x:f>TODAY()</x:f>
        <x:v>46250</x:v>
      </x:c>
    </x:row>
    <x:row r="473">
      <x:c r="A473" s="59" t="str">
        <x:v>MCPOLAND</x:v>
      </x:c>
      <x:c r="B473" s="60" t="str">
        <x:v>AARON</x:v>
      </x:c>
      <x:c r="C473" s="60" t="str">
        <x:v>JOHN</x:v>
      </x:c>
      <x:c r="D473" s="61" t="n">
        <x:v>31247.5</x:v>
      </x:c>
      <x:c r="E473" s="62" t="n">
        <x:f>IF(OR(D473="",X473=""),"",IFERROR(DATEDIF(D473,X473,"y"),""))</x:f>
        <x:v>41</x:v>
      </x:c>
      <x:c r="F473" s="60" t="str">
        <x:v>POOLE</x:v>
      </x:c>
      <x:c r="G473" s="63"/>
      <x:c r="H473" s="63"/>
      <x:c r="I473" s="61" t="n">
        <x:v>43586.5</x:v>
      </x:c>
      <x:c r="J473" s="64" t="n">
        <x:f>IF(OR(I473="",X473=""),"",IFERROR(DATEDIF(I473,X473,"m")/12,""))</x:f>
        <x:v>7.25</x:v>
      </x:c>
      <x:c r="K473" s="60" t="str">
        <x:v>7 CAVENDISH ROAD LONDON, NW6 7XT</x:v>
      </x:c>
      <x:c r="L473" s="60" t="str">
        <x:v> NW6 7XT</x:v>
      </x:c>
      <x:c r="M473" s="60"/>
      <x:c r="N473" s="60" t="str">
        <x:v>NW6 7XT</x:v>
      </x:c>
      <x:c r="O473" s="61"/>
      <x:c r="P473" s="64" t="str">
        <x:f>IF(OR(O473="",I473=""),"",IFERROR(DATEDIF(O473,I473,"m")/12,""))</x:f>
      </x:c>
      <x:c r="Q473" s="60"/>
      <x:c r="R473" s="61"/>
      <x:c r="S473" s="64" t="str">
        <x:f>IF(OR(R473="",X473=""),"",IFERROR(DATEDIF(R473,X473,"m")/12,""))</x:f>
      </x:c>
      <x:c r="T473" s="60"/>
      <x:c r="U473" s="60"/>
      <x:c r="V473" s="60"/>
      <x:c r="W473" s="63"/>
      <x:c r="X473" s="65" t="n">
        <x:f>TODAY()</x:f>
        <x:v>46250</x:v>
      </x:c>
    </x:row>
    <x:row r="474">
      <x:c r="A474" s="59" t="str">
        <x:v>MCVIE</x:v>
      </x:c>
      <x:c r="B474" s="60" t="str">
        <x:v>ANN</x:v>
      </x:c>
      <x:c r="C474" s="60" t="str">
        <x:v>CHRISTINE</x:v>
      </x:c>
      <x:c r="D474" s="61" t="n">
        <x:v>15899.5</x:v>
      </x:c>
      <x:c r="E474" s="62" t="n">
        <x:f>IF(OR(D474="",X474=""),"",IFERROR(DATEDIF(D474,X474,"y"),""))</x:f>
        <x:v>83</x:v>
      </x:c>
      <x:c r="F474" s="60"/>
      <x:c r="G474" s="63"/>
      <x:c r="H474" s="63"/>
      <x:c r="I474" s="61"/>
      <x:c r="J474" s="64" t="str">
        <x:f>IF(OR(I474="",X474=""),"",IFERROR(DATEDIF(I474,X474,"m")/12,""))</x:f>
      </x:c>
      <x:c r="K474" s="60" t="str">
        <x:v>FLAT 19, 61-63 GLOUCESTER TERRACE, LONDON, W2 3DH</x:v>
      </x:c>
      <x:c r="L474" s="60" t="str">
        <x:v> W2 3DH</x:v>
      </x:c>
      <x:c r="M474" s="60"/>
      <x:c r="N474" s="60" t="str">
        <x:v>W2 3DH</x:v>
      </x:c>
      <x:c r="O474" s="61"/>
      <x:c r="P474" s="64" t="str">
        <x:f>IF(OR(O474="",I474=""),"",IFERROR(DATEDIF(O474,I474,"m")/12,""))</x:f>
      </x:c>
      <x:c r="Q474" s="60"/>
      <x:c r="R474" s="61"/>
      <x:c r="S474" s="64" t="str">
        <x:f>IF(OR(R474="",X474=""),"",IFERROR(DATEDIF(R474,X474,"m")/12,""))</x:f>
      </x:c>
      <x:c r="T474" s="60"/>
      <x:c r="U474" s="60"/>
      <x:c r="V474" s="60"/>
      <x:c r="W474" s="63"/>
      <x:c r="X474" s="65" t="n">
        <x:f>TODAY()</x:f>
        <x:v>46250</x:v>
      </x:c>
    </x:row>
    <x:row r="475">
      <x:c r="A475" s="59" t="str">
        <x:v>MEDFORTH</x:v>
      </x:c>
      <x:c r="B475" s="60" t="str">
        <x:v>JACK</x:v>
      </x:c>
      <x:c r="C475" s="60" t="str">
        <x:v>WILLIAM</x:v>
      </x:c>
      <x:c r="D475" s="61"/>
      <x:c r="E475" s="62" t="str">
        <x:f>IF(OR(D475="",X475=""),"",IFERROR(DATEDIF(D475,X475,"y"),""))</x:f>
      </x:c>
      <x:c r="F475" s="60" t="str">
        <x:v>CROWE</x:v>
      </x:c>
      <x:c r="G475" s="63"/>
      <x:c r="H475" s="63"/>
      <x:c r="I475" s="61"/>
      <x:c r="J475" s="64" t="str">
        <x:f>IF(OR(I475="",X475=""),"",IFERROR(DATEDIF(I475,X475,"m")/12,""))</x:f>
      </x:c>
      <x:c r="K475" s="60" t="str">
        <x:v>FLAT 5, 366 NORTH END ROAD, LONDON, SW6 1LY</x:v>
      </x:c>
      <x:c r="L475" s="60" t="str">
        <x:v> SW6 1LY</x:v>
      </x:c>
      <x:c r="M475" s="60"/>
      <x:c r="N475" s="60" t="str">
        <x:v>SW6 1LY</x:v>
      </x:c>
      <x:c r="O475" s="61"/>
      <x:c r="P475" s="64" t="str">
        <x:f>IF(OR(O475="",I475=""),"",IFERROR(DATEDIF(O475,I475,"m")/12,""))</x:f>
      </x:c>
      <x:c r="Q475" s="60" t="str">
        <x:v>78 SOUTHFIELD DRIVE, NORTH FERRIBY, HU14 3DU</x:v>
      </x:c>
      <x:c r="R475" s="61"/>
      <x:c r="S475" s="64" t="str">
        <x:f>IF(OR(R475="",X475=""),"",IFERROR(DATEDIF(R475,X475,"m")/12,""))</x:f>
      </x:c>
      <x:c r="T475" s="60"/>
      <x:c r="U475" s="60"/>
      <x:c r="V475" s="60"/>
      <x:c r="W475" s="63"/>
      <x:c r="X475" s="65" t="n">
        <x:f>TODAY()</x:f>
        <x:v>46250</x:v>
      </x:c>
    </x:row>
    <x:row r="476">
      <x:c r="A476" s="59" t="str">
        <x:v>MEIDAL</x:v>
      </x:c>
      <x:c r="B476" s="60" t="str">
        <x:v>GOLNAZ</x:v>
      </x:c>
      <x:c r="C476" s="60"/>
      <x:c r="D476" s="61" t="n">
        <x:v>30142.5</x:v>
      </x:c>
      <x:c r="E476" s="62" t="n">
        <x:f>IF(OR(D476="",X476=""),"",IFERROR(DATEDIF(D476,X476,"y"),""))</x:f>
        <x:v>44</x:v>
      </x:c>
      <x:c r="F476" s="60"/>
      <x:c r="G476" s="63"/>
      <x:c r="H476" s="63"/>
      <x:c r="I476" s="61"/>
      <x:c r="J476" s="64" t="str">
        <x:f>IF(OR(I476="",X476=""),"",IFERROR(DATEDIF(I476,X476,"m")/12,""))</x:f>
      </x:c>
      <x:c r="K476" s="60" t="str">
        <x:v>FLAT 3, 52 QUEENS GATE GARDENS LONDON, SW75NF</x:v>
      </x:c>
      <x:c r="L476" s="60" t="str">
        <x:v> SW75NF</x:v>
      </x:c>
      <x:c r="M476" s="60"/>
      <x:c r="N476" s="60" t="str">
        <x:v>SW75NF</x:v>
      </x:c>
      <x:c r="O476" s="61"/>
      <x:c r="P476" s="64" t="str">
        <x:f>IF(OR(O476="",I476=""),"",IFERROR(DATEDIF(O476,I476,"m")/12,""))</x:f>
      </x:c>
      <x:c r="Q476" s="60"/>
      <x:c r="R476" s="61"/>
      <x:c r="S476" s="64" t="str">
        <x:f>IF(OR(R476="",X476=""),"",IFERROR(DATEDIF(R476,X476,"m")/12,""))</x:f>
      </x:c>
      <x:c r="T476" s="60"/>
      <x:c r="U476" s="60"/>
      <x:c r="V476" s="60"/>
      <x:c r="W476" s="63"/>
      <x:c r="X476" s="65" t="n">
        <x:f>TODAY()</x:f>
        <x:v>46250</x:v>
      </x:c>
    </x:row>
    <x:row r="477">
      <x:c r="A477" s="59" t="str">
        <x:v>MEKARNIA</x:v>
      </x:c>
      <x:c r="B477" s="60" t="str">
        <x:v>KARIM</x:v>
      </x:c>
      <x:c r="C477" s="60"/>
      <x:c r="D477" s="61"/>
      <x:c r="E477" s="62" t="str">
        <x:f>IF(OR(D477="",X477=""),"",IFERROR(DATEDIF(D477,X477,"y"),""))</x:f>
      </x:c>
      <x:c r="F477" s="60"/>
      <x:c r="G477" s="63"/>
      <x:c r="H477" s="63" t="str">
        <x:v>PW661354C</x:v>
      </x:c>
      <x:c r="I477" s="61" t="n">
        <x:v>43221.5</x:v>
      </x:c>
      <x:c r="J477" s="64" t="n">
        <x:f>IF(OR(I477="",X477=""),"",IFERROR(DATEDIF(I477,X477,"m")/12,""))</x:f>
        <x:v>8.25</x:v>
      </x:c>
      <x:c r="K477" s="60" t="str">
        <x:v>268A KILBURNHIGH ROAD, LONDON, NW6 2BY</x:v>
      </x:c>
      <x:c r="L477" s="60" t="str">
        <x:v> NW6 2BY</x:v>
      </x:c>
      <x:c r="M477" s="60"/>
      <x:c r="N477" s="60" t="str">
        <x:v>NW6 2BY</x:v>
      </x:c>
      <x:c r="O477" s="61" t="n">
        <x:v>40452.5</x:v>
      </x:c>
      <x:c r="P477" s="64" t="n">
        <x:f>IF(OR(O477="",I477=""),"",IFERROR(DATEDIF(O477,I477,"m")/12,""))</x:f>
        <x:v>7.583333333333333</x:v>
      </x:c>
      <x:c r="Q477" s="60" t="str">
        <x:v>46, KERRISON ROAD, LONDON,E15 2TH</x:v>
      </x:c>
      <x:c r="R477" s="61"/>
      <x:c r="S477" s="64" t="str">
        <x:f>IF(OR(R477="",X477=""),"",IFERROR(DATEDIF(R477,X477,"m")/12,""))</x:f>
      </x:c>
      <x:c r="T477" s="60"/>
      <x:c r="U477" s="60"/>
      <x:c r="V477" s="60"/>
      <x:c r="W477" s="63"/>
      <x:c r="X477" s="65" t="n">
        <x:f>TODAY()</x:f>
        <x:v>46250</x:v>
      </x:c>
    </x:row>
    <x:row r="478">
      <x:c r="A478" s="59" t="str">
        <x:v>MENEGUZZI</x:v>
      </x:c>
      <x:c r="B478" s="60" t="str">
        <x:v>BRANDON</x:v>
      </x:c>
      <x:c r="C478" s="60" t="str">
        <x:v>MICHAEL</x:v>
      </x:c>
      <x:c r="D478" s="61" t="n">
        <x:v>31572.5</x:v>
      </x:c>
      <x:c r="E478" s="62" t="n">
        <x:f>IF(OR(D478="",X478=""),"",IFERROR(DATEDIF(D478,X478,"y"),""))</x:f>
        <x:v>40</x:v>
      </x:c>
      <x:c r="F478" s="60" t="str">
        <x:v>ROSSET</x:v>
      </x:c>
      <x:c r="G478" s="63" t="str">
        <x:v>07944516688</x:v>
      </x:c>
      <x:c r="H478" s="63"/>
      <x:c r="I478" s="61" t="n">
        <x:v>42491.5</x:v>
      </x:c>
      <x:c r="J478" s="64" t="n">
        <x:f>IF(OR(I478="",X478=""),"",IFERROR(DATEDIF(I478,X478,"m")/12,""))</x:f>
        <x:v>10.25</x:v>
      </x:c>
      <x:c r="K478" s="60" t="str">
        <x:v>4, ASCOT HOUSE, 63-67, VENN STREET, CLAPHAM, LONDON, SW4 0BD</x:v>
      </x:c>
      <x:c r="L478" s="60" t="str">
        <x:v> SW4 0BD</x:v>
      </x:c>
      <x:c r="M478" s="60"/>
      <x:c r="N478" s="60" t="str">
        <x:v>SW4 0BD</x:v>
      </x:c>
      <x:c r="O478" s="61"/>
      <x:c r="P478" s="64" t="str">
        <x:f>IF(OR(O478="",I478=""),"",IFERROR(DATEDIF(O478,I478,"m")/12,""))</x:f>
      </x:c>
      <x:c r="Q478" s="60"/>
      <x:c r="R478" s="61" t="n">
        <x:v>42614.5</x:v>
      </x:c>
      <x:c r="S478" s="64" t="n">
        <x:f>IF(OR(R478="",X478=""),"",IFERROR(DATEDIF(R478,X478,"m")/12,""))</x:f>
        <x:v>9.916666666666666</x:v>
      </x:c>
      <x:c r="T478" s="60" t="str">
        <x:v>DIRECTOR, COMPLIANCE ADVISORY</x:v>
      </x:c>
      <x:c r="U478" s="60" t="str">
        <x:v>THOMSON REUTERS</x:v>
      </x:c>
      <x:c r="V478" s="60" t="str">
        <x:v>5 CANADA SQUARE, LONDON E14 5AQ</x:v>
      </x:c>
      <x:c r="W478" s="63"/>
      <x:c r="X478" s="65" t="n">
        <x:f>TODAY()</x:f>
        <x:v>46250</x:v>
      </x:c>
    </x:row>
    <x:row r="479">
      <x:c r="A479" s="59" t="str">
        <x:v>MENINI</x:v>
      </x:c>
      <x:c r="B479" s="60" t="str">
        <x:v>MARCO</x:v>
      </x:c>
      <x:c r="C479" s="60"/>
      <x:c r="D479" s="61" t="n">
        <x:v>33874.5</x:v>
      </x:c>
      <x:c r="E479" s="62" t="n">
        <x:f>IF(OR(D479="",X479=""),"",IFERROR(DATEDIF(D479,X479,"y"),""))</x:f>
        <x:v>33</x:v>
      </x:c>
      <x:c r="F479" s="60"/>
      <x:c r="G479" s="63"/>
      <x:c r="H479" s="63"/>
      <x:c r="I479" s="61" t="n">
        <x:v>41760.5</x:v>
      </x:c>
      <x:c r="J479" s="64" t="n">
        <x:f>IF(OR(I479="",X479=""),"",IFERROR(DATEDIF(I479,X479,"m")/12,""))</x:f>
        <x:v>12.25</x:v>
      </x:c>
      <x:c r="K479" s="60" t="str">
        <x:v>14A-14B NORTH POLE ROAD, LONDON, W10 6QL</x:v>
      </x:c>
      <x:c r="L479" s="60" t="str">
        <x:v> W10 6QL</x:v>
      </x:c>
      <x:c r="M479" s="60"/>
      <x:c r="N479" s="60" t="str">
        <x:v>W10 6QL</x:v>
      </x:c>
      <x:c r="O479" s="61"/>
      <x:c r="P479" s="64" t="str">
        <x:f>IF(OR(O479="",I479=""),"",IFERROR(DATEDIF(O479,I479,"m")/12,""))</x:f>
      </x:c>
      <x:c r="Q479" s="60"/>
      <x:c r="R479" s="61"/>
      <x:c r="S479" s="64" t="str">
        <x:f>IF(OR(R479="",X479=""),"",IFERROR(DATEDIF(R479,X479,"m")/12,""))</x:f>
      </x:c>
      <x:c r="T479" s="60" t="str">
        <x:v>BARTENDER</x:v>
      </x:c>
      <x:c r="U479" s="60" t="str">
        <x:v>UKAI</x:v>
      </x:c>
      <x:c r="V479" s="60" t="str">
        <x:v>240 PORTOBELLO RD, LONDON W11 1LL</x:v>
      </x:c>
      <x:c r="W479" s="63" t="str">
        <x:v>020 7792 2444</x:v>
      </x:c>
      <x:c r="X479" s="65" t="n">
        <x:f>TODAY()</x:f>
        <x:v>46250</x:v>
      </x:c>
    </x:row>
    <x:row r="480">
      <x:c r="A480" s="59" t="str">
        <x:v>MERALI</x:v>
      </x:c>
      <x:c r="B480" s="60" t="str">
        <x:v>SHAHEEN</x:v>
      </x:c>
      <x:c r="C480" s="60" t="str">
        <x:v>GULAMALI</x:v>
      </x:c>
      <x:c r="D480" s="61"/>
      <x:c r="E480" s="62" t="str">
        <x:f>IF(OR(D480="",X480=""),"",IFERROR(DATEDIF(D480,X480,"y"),""))</x:f>
      </x:c>
      <x:c r="F480" s="60"/>
      <x:c r="G480" s="63"/>
      <x:c r="H480" s="63"/>
      <x:c r="I480" s="61"/>
      <x:c r="J480" s="64" t="str">
        <x:f>IF(OR(I480="",X480=""),"",IFERROR(DATEDIF(I480,X480,"m")/12,""))</x:f>
      </x:c>
      <x:c r="K480" s="60" t="str">
        <x:v>FLAT 8, 29 TALBOT ROAD, LONDON, W2 5JG</x:v>
      </x:c>
      <x:c r="L480" s="60" t="str">
        <x:v> W2 5JG</x:v>
      </x:c>
      <x:c r="M480" s="60"/>
      <x:c r="N480" s="60" t="str">
        <x:v>W2 5JG</x:v>
      </x:c>
      <x:c r="O480" s="61"/>
      <x:c r="P480" s="64" t="str">
        <x:f>IF(OR(O480="",I480=""),"",IFERROR(DATEDIF(O480,I480,"m")/12,""))</x:f>
      </x:c>
      <x:c r="Q480" s="60"/>
      <x:c r="R480" s="61"/>
      <x:c r="S480" s="64" t="str">
        <x:f>IF(OR(R480="",X480=""),"",IFERROR(DATEDIF(R480,X480,"m")/12,""))</x:f>
      </x:c>
      <x:c r="T480" s="60"/>
      <x:c r="U480" s="60"/>
      <x:c r="V480" s="60"/>
      <x:c r="W480" s="63"/>
      <x:c r="X480" s="65" t="n">
        <x:f>TODAY()</x:f>
        <x:v>46250</x:v>
      </x:c>
    </x:row>
    <x:row r="481">
      <x:c r="A481" s="59" t="str">
        <x:v>MERCHANT</x:v>
      </x:c>
      <x:c r="B481" s="60" t="str">
        <x:v>AKBAR</x:v>
      </x:c>
      <x:c r="C481" s="60"/>
      <x:c r="D481" s="61" t="n">
        <x:v>29504.5</x:v>
      </x:c>
      <x:c r="E481" s="62" t="n">
        <x:f>IF(OR(D481="",X481=""),"",IFERROR(DATEDIF(D481,X481,"y"),""))</x:f>
        <x:v>45</x:v>
      </x:c>
      <x:c r="F481" s="60" t="str">
        <x:v>MERCHANT</x:v>
      </x:c>
      <x:c r="G481" s="63"/>
      <x:c r="H481" s="63"/>
      <x:c r="I481" s="61"/>
      <x:c r="J481" s="64" t="str">
        <x:f>IF(OR(I481="",X481=""),"",IFERROR(DATEDIF(I481,X481,"m")/12,""))</x:f>
      </x:c>
      <x:c r="K481" s="60"/>
      <x:c r="L481" s="60"/>
      <x:c r="M481" s="60"/>
      <x:c r="N481" s="60"/>
      <x:c r="O481" s="61"/>
      <x:c r="P481" s="64" t="str">
        <x:f>IF(OR(O481="",I481=""),"",IFERROR(DATEDIF(O481,I481,"m")/12,""))</x:f>
      </x:c>
      <x:c r="Q481" s="60"/>
      <x:c r="R481" s="61"/>
      <x:c r="S481" s="64" t="str">
        <x:f>IF(OR(R481="",X481=""),"",IFERROR(DATEDIF(R481,X481,"m")/12,""))</x:f>
      </x:c>
      <x:c r="T481" s="60"/>
      <x:c r="U481" s="60"/>
      <x:c r="V481" s="60"/>
      <x:c r="W481" s="63"/>
      <x:c r="X481" s="65" t="n">
        <x:f>TODAY()</x:f>
        <x:v>46250</x:v>
      </x:c>
    </x:row>
    <x:row r="482">
      <x:c r="A482" s="59" t="str">
        <x:v>MESHIEA</x:v>
      </x:c>
      <x:c r="B482" s="60" t="str">
        <x:v>DORETTA</x:v>
      </x:c>
      <x:c r="C482" s="60"/>
      <x:c r="D482" s="61" t="n">
        <x:v>15718.5</x:v>
      </x:c>
      <x:c r="E482" s="62" t="n">
        <x:f>IF(OR(D482="",X482=""),"",IFERROR(DATEDIF(D482,X482,"y"),""))</x:f>
        <x:v>83</x:v>
      </x:c>
      <x:c r="F482" s="60"/>
      <x:c r="G482" s="63"/>
      <x:c r="H482" s="63"/>
      <x:c r="I482" s="61" t="n">
        <x:v>37530.5</x:v>
      </x:c>
      <x:c r="J482" s="64" t="n">
        <x:f>IF(OR(I482="",X482=""),"",IFERROR(DATEDIF(I482,X482,"m")/12,""))</x:f>
        <x:v>23.833333333333332</x:v>
      </x:c>
      <x:c r="K482" s="60" t="str">
        <x:v>12A ENNISMORE GARDENS, LONDON, SW71AA</x:v>
      </x:c>
      <x:c r="L482" s="60" t="str">
        <x:v> SW71AA</x:v>
      </x:c>
      <x:c r="M482" s="60"/>
      <x:c r="N482" s="60" t="str">
        <x:v>SW71AA</x:v>
      </x:c>
      <x:c r="O482" s="61"/>
      <x:c r="P482" s="64" t="str">
        <x:f>IF(OR(O482="",I482=""),"",IFERROR(DATEDIF(O482,I482,"m")/12,""))</x:f>
      </x:c>
      <x:c r="Q482" s="60"/>
      <x:c r="R482" s="61"/>
      <x:c r="S482" s="64" t="str">
        <x:f>IF(OR(R482="",X482=""),"",IFERROR(DATEDIF(R482,X482,"m")/12,""))</x:f>
      </x:c>
      <x:c r="T482" s="60"/>
      <x:c r="U482" s="60"/>
      <x:c r="V482" s="60"/>
      <x:c r="W482" s="63"/>
      <x:c r="X482" s="65" t="n">
        <x:f>TODAY()</x:f>
        <x:v>46250</x:v>
      </x:c>
    </x:row>
    <x:row r="483">
      <x:c r="A483" s="59" t="str">
        <x:v>MESHIEA</x:v>
      </x:c>
      <x:c r="B483" s="60" t="str">
        <x:v>YOUSEF</x:v>
      </x:c>
      <x:c r="C483" s="60" t="str">
        <x:v>ABDULAZIZ</x:v>
      </x:c>
      <x:c r="D483" s="61" t="n">
        <x:v>15261.5</x:v>
      </x:c>
      <x:c r="E483" s="62" t="n">
        <x:f>IF(OR(D483="",X483=""),"",IFERROR(DATEDIF(D483,X483,"y"),""))</x:f>
        <x:v>84</x:v>
      </x:c>
      <x:c r="F483" s="60"/>
      <x:c r="G483" s="63"/>
      <x:c r="H483" s="63"/>
      <x:c r="I483" s="61" t="n">
        <x:v>37530.5</x:v>
      </x:c>
      <x:c r="J483" s="64" t="n">
        <x:f>IF(OR(I483="",X483=""),"",IFERROR(DATEDIF(I483,X483,"m")/12,""))</x:f>
        <x:v>23.833333333333332</x:v>
      </x:c>
      <x:c r="K483" s="60" t="str">
        <x:v>12A ENNISMORE GARDENS, LONDON, SW71AA</x:v>
      </x:c>
      <x:c r="L483" s="60" t="str">
        <x:v> SW71AA</x:v>
      </x:c>
      <x:c r="M483" s="60"/>
      <x:c r="N483" s="60" t="str">
        <x:v>SW71AA</x:v>
      </x:c>
      <x:c r="O483" s="61"/>
      <x:c r="P483" s="64" t="str">
        <x:f>IF(OR(O483="",I483=""),"",IFERROR(DATEDIF(O483,I483,"m")/12,""))</x:f>
      </x:c>
      <x:c r="Q483" s="60"/>
      <x:c r="R483" s="61"/>
      <x:c r="S483" s="64" t="str">
        <x:f>IF(OR(R483="",X483=""),"",IFERROR(DATEDIF(R483,X483,"m")/12,""))</x:f>
      </x:c>
      <x:c r="T483" s="60"/>
      <x:c r="U483" s="60"/>
      <x:c r="V483" s="60"/>
      <x:c r="W483" s="63"/>
      <x:c r="X483" s="65" t="n">
        <x:f>TODAY()</x:f>
        <x:v>46250</x:v>
      </x:c>
    </x:row>
    <x:row r="484">
      <x:c r="A484" s="59" t="str">
        <x:v>MICHOS</x:v>
      </x:c>
      <x:c r="B484" s="60" t="str">
        <x:v>GEORGE</x:v>
      </x:c>
      <x:c r="C484" s="60"/>
      <x:c r="D484" s="61" t="n">
        <x:v>31963.5</x:v>
      </x:c>
      <x:c r="E484" s="62" t="n">
        <x:f>IF(OR(D484="",X484=""),"",IFERROR(DATEDIF(D484,X484,"y"),""))</x:f>
        <x:v>39</x:v>
      </x:c>
      <x:c r="F484" s="60"/>
      <x:c r="G484" s="63"/>
      <x:c r="H484" s="63"/>
      <x:c r="I484" s="61"/>
      <x:c r="J484" s="64" t="str">
        <x:f>IF(OR(I484="",X484=""),"",IFERROR(DATEDIF(I484,X484,"m")/12,""))</x:f>
      </x:c>
      <x:c r="K484" s="60" t="str">
        <x:v>FLAT 9, 3 SINCLAIR GARDENS, LONDON, W14 0AU</x:v>
      </x:c>
      <x:c r="L484" s="60" t="str">
        <x:v> W14 0AU</x:v>
      </x:c>
      <x:c r="M484" s="60"/>
      <x:c r="N484" s="60" t="str">
        <x:v>W14 0AU</x:v>
      </x:c>
      <x:c r="O484" s="61"/>
      <x:c r="P484" s="64" t="str">
        <x:f>IF(OR(O484="",I484=""),"",IFERROR(DATEDIF(O484,I484,"m")/12,""))</x:f>
      </x:c>
      <x:c r="Q484" s="60"/>
      <x:c r="R484" s="61"/>
      <x:c r="S484" s="64" t="str">
        <x:f>IF(OR(R484="",X484=""),"",IFERROR(DATEDIF(R484,X484,"m")/12,""))</x:f>
      </x:c>
      <x:c r="T484" s="60"/>
      <x:c r="U484" s="60"/>
      <x:c r="V484" s="60"/>
      <x:c r="W484" s="63"/>
      <x:c r="X484" s="65" t="n">
        <x:f>TODAY()</x:f>
        <x:v>46250</x:v>
      </x:c>
    </x:row>
    <x:row r="485">
      <x:c r="A485" s="59" t="str">
        <x:v>MILANI</x:v>
      </x:c>
      <x:c r="B485" s="60" t="str">
        <x:v>FRANCESCO</x:v>
      </x:c>
      <x:c r="C485" s="60"/>
      <x:c r="D485" s="61" t="n">
        <x:v>32595.5</x:v>
      </x:c>
      <x:c r="E485" s="62" t="n">
        <x:f>IF(OR(D485="",X485=""),"",IFERROR(DATEDIF(D485,X485,"y"),""))</x:f>
        <x:v>37</x:v>
      </x:c>
      <x:c r="F485" s="60"/>
      <x:c r="G485" s="63"/>
      <x:c r="H485" s="63"/>
      <x:c r="I485" s="61" t="n">
        <x:v>43070.5</x:v>
      </x:c>
      <x:c r="J485" s="64" t="n">
        <x:f>IF(OR(I485="",X485=""),"",IFERROR(DATEDIF(I485,X485,"m")/12,""))</x:f>
        <x:v>8.666666666666666</x:v>
      </x:c>
      <x:c r="K485" s="60" t="str">
        <x:v>12A COURTFIELD GARDENS, LONDON, SW5 0PL</x:v>
      </x:c>
      <x:c r="L485" s="60" t="str">
        <x:v> SW5 0PL</x:v>
      </x:c>
      <x:c r="M485" s="60"/>
      <x:c r="N485" s="60" t="str">
        <x:v>SW5 0PL</x:v>
      </x:c>
      <x:c r="O485" s="61" t="n">
        <x:v>42278.5</x:v>
      </x:c>
      <x:c r="P485" s="64" t="n">
        <x:f>IF(OR(O485="",I485=""),"",IFERROR(DATEDIF(O485,I485,"m")/12,""))</x:f>
        <x:v>2.1666666666666665</x:v>
      </x:c>
      <x:c r="Q485" s="60" t="str">
        <x:v>FLAT 1, 11, WANDLE ROAD, TOOTING, LONDON, SW17 7DL</x:v>
      </x:c>
      <x:c r="R485" s="61"/>
      <x:c r="S485" s="64" t="str">
        <x:f>IF(OR(R485="",X485=""),"",IFERROR(DATEDIF(R485,X485,"m")/12,""))</x:f>
      </x:c>
      <x:c r="T485" s="60" t="str">
        <x:v>INVESTMENT BANKING ASSOCIATE</x:v>
      </x:c>
      <x:c r="U485" s="60" t="str">
        <x:v>JP MORGAN</x:v>
      </x:c>
      <x:c r="V485" s="60" t="str">
        <x:v>25 BANK STREET, LONDON, SE14 5JP</x:v>
      </x:c>
      <x:c r="W485" s="63"/>
      <x:c r="X485" s="65" t="n">
        <x:f>TODAY()</x:f>
        <x:v>46250</x:v>
      </x:c>
    </x:row>
    <x:row r="486">
      <x:c r="A486" s="59" t="str">
        <x:v>MILLER</x:v>
      </x:c>
      <x:c r="B486" s="60" t="str">
        <x:v>JOANNA</x:v>
      </x:c>
      <x:c r="C486" s="60" t="str">
        <x:v>KATHRYN</x:v>
      </x:c>
      <x:c r="D486" s="61"/>
      <x:c r="E486" s="62" t="str">
        <x:f>IF(OR(D486="",X486=""),"",IFERROR(DATEDIF(D486,X486,"y"),""))</x:f>
      </x:c>
      <x:c r="F486" s="60"/>
      <x:c r="G486" s="63"/>
      <x:c r="H486" s="63"/>
      <x:c r="I486" s="61"/>
      <x:c r="J486" s="64" t="str">
        <x:f>IF(OR(I486="",X486=""),"",IFERROR(DATEDIF(I486,X486,"m")/12,""))</x:f>
      </x:c>
      <x:c r="K486" s="60" t="str">
        <x:v>FLAT 4, 33, DRAYCOTT PLACE, LONDON, ENGLAND, SW3 2SH</x:v>
      </x:c>
      <x:c r="L486" s="60" t="str">
        <x:v> ENGLAND, SW3 2SH</x:v>
      </x:c>
      <x:c r="M486" s="60"/>
      <x:c r="N486" s="60" t="str">
        <x:v> SW3 2SH</x:v>
      </x:c>
      <x:c r="O486" s="61"/>
      <x:c r="P486" s="64" t="str">
        <x:f>IF(OR(O486="",I486=""),"",IFERROR(DATEDIF(O486,I486,"m")/12,""))</x:f>
      </x:c>
      <x:c r="Q486" s="60"/>
      <x:c r="R486" s="61"/>
      <x:c r="S486" s="64" t="str">
        <x:f>IF(OR(R486="",X486=""),"",IFERROR(DATEDIF(R486,X486,"m")/12,""))</x:f>
      </x:c>
      <x:c r="T486" s="60"/>
      <x:c r="U486" s="60"/>
      <x:c r="V486" s="60"/>
      <x:c r="W486" s="63"/>
      <x:c r="X486" s="65" t="n">
        <x:f>TODAY()</x:f>
        <x:v>46250</x:v>
      </x:c>
    </x:row>
    <x:row r="487">
      <x:c r="A487" s="59" t="str">
        <x:v>MILLER</x:v>
      </x:c>
      <x:c r="B487" s="60" t="str">
        <x:v>SCOTT</x:v>
      </x:c>
      <x:c r="C487" s="60" t="str">
        <x:v>RALSTON</x:v>
      </x:c>
      <x:c r="D487" s="61" t="n">
        <x:v>33049.5</x:v>
      </x:c>
      <x:c r="E487" s="62" t="n">
        <x:f>IF(OR(D487="",X487=""),"",IFERROR(DATEDIF(D487,X487,"y"),""))</x:f>
        <x:v>36</x:v>
      </x:c>
      <x:c r="F487" s="60" t="str">
        <x:v>MILLER</x:v>
      </x:c>
      <x:c r="G487" s="63" t="str">
        <x:v>07444942665</x:v>
      </x:c>
      <x:c r="H487" s="63"/>
      <x:c r="I487" s="61" t="n">
        <x:v>44348.5</x:v>
      </x:c>
      <x:c r="J487" s="64" t="n">
        <x:f>IF(OR(I487="",X487=""),"",IFERROR(DATEDIF(I487,X487,"m")/12,""))</x:f>
        <x:v>5.166666666666667</x:v>
      </x:c>
      <x:c r="K487" s="60" t="str">
        <x:v>GARDEN FLAT, HEATH VIEW, 8 WINDMILL DRIVE, LONDON, SW4 9DE</x:v>
      </x:c>
      <x:c r="L487" s="60" t="str">
        <x:v> SW4 9DE</x:v>
      </x:c>
      <x:c r="M487" s="60"/>
      <x:c r="N487" s="60" t="str">
        <x:v>SW4 9DE</x:v>
      </x:c>
      <x:c r="O487" s="61" t="n">
        <x:v>43617.5</x:v>
      </x:c>
      <x:c r="P487" s="64" t="n">
        <x:f>IF(OR(O487="",I487=""),"",IFERROR(DATEDIF(O487,I487,"m")/12,""))</x:f>
        <x:v>2</x:v>
      </x:c>
      <x:c r="Q487" s="60" t="str">
        <x:v>FLAT A, 63 TANTALLON ROAD, LONDON, SW12 8DF</x:v>
      </x:c>
      <x:c r="R487" s="61" t="n">
        <x:v>42826.5</x:v>
      </x:c>
      <x:c r="S487" s="64" t="n">
        <x:f>IF(OR(R487="",X487=""),"",IFERROR(DATEDIF(R487,X487,"m")/12,""))</x:f>
        <x:v>9.333333333333334</x:v>
      </x:c>
      <x:c r="T487" s="60" t="str">
        <x:v>CHARTERED FINANCIAL PLANNER</x:v>
      </x:c>
      <x:c r="U487" s="60" t="str">
        <x:v>FAIRSTONE GROUP LTD</x:v>
      </x:c>
      <x:c r="V487" s="60" t="str">
        <x:v>2ND FLOOR, 88 LEADENHALL STREET, LONDON, EC3A 3BP</x:v>
      </x:c>
      <x:c r="W487" s="63" t="str">
        <x:v>0207 665 8560</x:v>
      </x:c>
      <x:c r="X487" s="65" t="n">
        <x:f>TODAY()</x:f>
        <x:v>46250</x:v>
      </x:c>
    </x:row>
    <x:row r="488">
      <x:c r="A488" s="59" t="str">
        <x:v>MILLER</x:v>
      </x:c>
      <x:c r="B488" s="60" t="str">
        <x:v>MICHAEL</x:v>
      </x:c>
      <x:c r="C488" s="60" t="str">
        <x:v>JAMES</x:v>
      </x:c>
      <x:c r="D488" s="61" t="n">
        <x:v>25430.5</x:v>
      </x:c>
      <x:c r="E488" s="62" t="n">
        <x:f>IF(OR(D488="",X488=""),"",IFERROR(DATEDIF(D488,X488,"y"),""))</x:f>
        <x:v>57</x:v>
      </x:c>
      <x:c r="F488" s="60"/>
      <x:c r="G488" s="63"/>
      <x:c r="H488" s="63"/>
      <x:c r="I488" s="61"/>
      <x:c r="J488" s="64" t="str">
        <x:f>IF(OR(I488="",X488=""),"",IFERROR(DATEDIF(I488,X488,"m")/12,""))</x:f>
      </x:c>
      <x:c r="K488" s="60" t="str">
        <x:v>43 PHILBEACH GARDENS, LONDON, SW5 9EB</x:v>
      </x:c>
      <x:c r="L488" s="60" t="str">
        <x:v> SW5 9EB</x:v>
      </x:c>
      <x:c r="M488" s="60"/>
      <x:c r="N488" s="60" t="str">
        <x:v>SW5 9EB</x:v>
      </x:c>
      <x:c r="O488" s="61"/>
      <x:c r="P488" s="64" t="str">
        <x:f>IF(OR(O488="",I488=""),"",IFERROR(DATEDIF(O488,I488,"m")/12,""))</x:f>
      </x:c>
      <x:c r="Q488" s="60"/>
      <x:c r="R488" s="61" t="n">
        <x:v>39203.5</x:v>
      </x:c>
      <x:c r="S488" s="64" t="n">
        <x:f>IF(OR(R488="",X488=""),"",IFERROR(DATEDIF(R488,X488,"m")/12,""))</x:f>
        <x:v>19.25</x:v>
      </x:c>
      <x:c r="T488" s="60" t="str">
        <x:v>DIRECTOR</x:v>
      </x:c>
      <x:c r="U488" s="60" t="str">
        <x:v>LONDON MEDITATION CENTER</x:v>
      </x:c>
      <x:c r="V488" s="60"/>
      <x:c r="W488" s="63"/>
      <x:c r="X488" s="65" t="n">
        <x:f>TODAY()</x:f>
        <x:v>46250</x:v>
      </x:c>
    </x:row>
    <x:row r="489">
      <x:c r="A489" s="59" t="str">
        <x:v>MINCH-DIXON</x:v>
      </x:c>
      <x:c r="B489" s="60" t="str">
        <x:v>MICHAEL</x:v>
      </x:c>
      <x:c r="C489" s="60"/>
      <x:c r="D489" s="61" t="n">
        <x:v>31431.5</x:v>
      </x:c>
      <x:c r="E489" s="62" t="n">
        <x:f>IF(OR(D489="",X489=""),"",IFERROR(DATEDIF(D489,X489,"y"),""))</x:f>
        <x:v>40</x:v>
      </x:c>
      <x:c r="F489" s="60" t="str">
        <x:v>MINCH</x:v>
      </x:c>
      <x:c r="G489" s="63"/>
      <x:c r="H489" s="63"/>
      <x:c r="I489" s="61" t="n">
        <x:v>42217.5</x:v>
      </x:c>
      <x:c r="J489" s="64" t="n">
        <x:f>IF(OR(I489="",X489=""),"",IFERROR(DATEDIF(I489,X489,"m")/12,""))</x:f>
        <x:v>11</x:v>
      </x:c>
      <x:c r="K489" s="60" t="str">
        <x:v>FLAT 2, 47 CLANRICARDE GARDENS, LONDON, W2 4JN</x:v>
      </x:c>
      <x:c r="L489" s="60" t="str">
        <x:v> W2 4JN</x:v>
      </x:c>
      <x:c r="M489" s="60"/>
      <x:c r="N489" s="60" t="str">
        <x:v>W2 4JN</x:v>
      </x:c>
      <x:c r="O489" s="61"/>
      <x:c r="P489" s="64" t="str">
        <x:f>IF(OR(O489="",I489=""),"",IFERROR(DATEDIF(O489,I489,"m")/12,""))</x:f>
      </x:c>
      <x:c r="Q489" s="60"/>
      <x:c r="R489" s="61" t="n">
        <x:v>41609.5</x:v>
      </x:c>
      <x:c r="S489" s="64" t="n">
        <x:f>IF(OR(R489="",X489=""),"",IFERROR(DATEDIF(R489,X489,"m")/12,""))</x:f>
        <x:v>12.666666666666666</x:v>
      </x:c>
      <x:c r="T489" s="60" t="str">
        <x:v>CO-FOUNDER</x:v>
      </x:c>
      <x:c r="U489" s="60" t="str">
        <x:v>BOLDER FOODS</x:v>
      </x:c>
      <x:c r="V489" s="60"/>
      <x:c r="W489" s="63"/>
      <x:c r="X489" s="65" t="n">
        <x:f>TODAY()</x:f>
        <x:v>46250</x:v>
      </x:c>
    </x:row>
    <x:row r="490">
      <x:c r="A490" s="59" t="str">
        <x:v>MINETOLA</x:v>
      </x:c>
      <x:c r="B490" s="60" t="str">
        <x:v>MASSIMO</x:v>
      </x:c>
      <x:c r="C490" s="60"/>
      <x:c r="D490" s="61" t="n">
        <x:v>24004.5</x:v>
      </x:c>
      <x:c r="E490" s="62" t="n">
        <x:f>IF(OR(D490="",X490=""),"",IFERROR(DATEDIF(D490,X490,"y"),""))</x:f>
        <x:v>60</x:v>
      </x:c>
      <x:c r="F490" s="60" t="str">
        <x:v>RUSSO</x:v>
      </x:c>
      <x:c r="G490" s="63"/>
      <x:c r="H490" s="63"/>
      <x:c r="I490" s="61" t="n">
        <x:v>40575.5</x:v>
      </x:c>
      <x:c r="J490" s="64" t="n">
        <x:f>IF(OR(I490="",X490=""),"",IFERROR(DATEDIF(I490,X490,"m")/12,""))</x:f>
        <x:v>15.5</x:v>
      </x:c>
      <x:c r="K490" s="60" t="str">
        <x:v>FLAT 6, 404-406 NORTH END ROAD,LONDON, SW6 1LU</x:v>
      </x:c>
      <x:c r="L490" s="60" t="str">
        <x:v> SW6 1LU</x:v>
      </x:c>
      <x:c r="M490" s="60"/>
      <x:c r="N490" s="60" t="str">
        <x:v>SW6 1LU</x:v>
      </x:c>
      <x:c r="O490" s="61" t="n">
        <x:v>39264.5</x:v>
      </x:c>
      <x:c r="P490" s="64" t="n">
        <x:f>IF(OR(O490="",I490=""),"",IFERROR(DATEDIF(O490,I490,"m")/12,""))</x:f>
        <x:v>3.5833333333333335</x:v>
      </x:c>
      <x:c r="Q490" s="60" t="str">
        <x:v>2ND 3RD FLOOR, 106 BEAUFORT STREET, LONDON, SW3 6BU</x:v>
      </x:c>
      <x:c r="R490" s="61" t="n">
        <x:v>43466.5</x:v>
      </x:c>
      <x:c r="S490" s="64" t="n">
        <x:f>IF(OR(R490="",X490=""),"",IFERROR(DATEDIF(R490,X490,"m")/12,""))</x:f>
        <x:v>7.583333333333333</x:v>
      </x:c>
      <x:c r="T490" s="60" t="str">
        <x:v>HEAD OF INTERNATIONAL BUSINESS</x:v>
      </x:c>
      <x:c r="U490" s="60" t="str">
        <x:v>RADICALBIT S.R.L.</x:v>
      </x:c>
      <x:c r="V490" s="60" t="str">
        <x:v>VIA PIETRO BORSIERI, 41, MILAN, LOMB. 20159, IT</x:v>
      </x:c>
      <x:c r="W490" s="63"/>
      <x:c r="X490" s="65" t="n">
        <x:f>TODAY()</x:f>
        <x:v>46250</x:v>
      </x:c>
    </x:row>
    <x:row r="491">
      <x:c r="A491" s="59" t="str">
        <x:v>MIQDADI</x:v>
      </x:c>
      <x:c r="B491" s="60" t="str">
        <x:v>RANIA</x:v>
      </x:c>
      <x:c r="C491" s="60" t="str">
        <x:v>ISSAM</x:v>
      </x:c>
      <x:c r="D491" s="61" t="n">
        <x:v>27887.5</x:v>
      </x:c>
      <x:c r="E491" s="62" t="n">
        <x:f>IF(OR(D491="",X491=""),"",IFERROR(DATEDIF(D491,X491,"y"),""))</x:f>
        <x:v>50</x:v>
      </x:c>
      <x:c r="F491" s="60"/>
      <x:c r="G491" s="63" t="str">
        <x:v>07849186650</x:v>
      </x:c>
      <x:c r="H491" s="63"/>
      <x:c r="I491" s="61" t="n">
        <x:v>42401.5</x:v>
      </x:c>
      <x:c r="J491" s="64" t="n">
        <x:f>IF(OR(I491="",X491=""),"",IFERROR(DATEDIF(I491,X491,"m")/12,""))</x:f>
        <x:v>10.5</x:v>
      </x:c>
      <x:c r="K491" s="60" t="str">
        <x:v>FLAT 11, 33-35 DRAYCOTT PLACE, LONDON, SW3 2SH</x:v>
      </x:c>
      <x:c r="L491" s="60" t="str">
        <x:v> SW3 2SH</x:v>
      </x:c>
      <x:c r="M491" s="60"/>
      <x:c r="N491" s="60" t="str">
        <x:v>SW3 2SH</x:v>
      </x:c>
      <x:c r="O491" s="61"/>
      <x:c r="P491" s="64" t="str">
        <x:f>IF(OR(O491="",I491=""),"",IFERROR(DATEDIF(O491,I491,"m")/12,""))</x:f>
      </x:c>
      <x:c r="Q491" s="60"/>
      <x:c r="R491" s="61" t="n">
        <x:v>43221.5</x:v>
      </x:c>
      <x:c r="S491" s="64" t="n">
        <x:f>IF(OR(R491="",X491=""),"",IFERROR(DATEDIF(R491,X491,"m")/12,""))</x:f>
        <x:v>8.25</x:v>
      </x:c>
      <x:c r="T491" s="60" t="str">
        <x:v>OWNER</x:v>
      </x:c>
      <x:c r="U491" s="60" t="str">
        <x:v>TWINKLE BABY STORE LIMITED</x:v>
      </x:c>
      <x:c r="V491" s="60" t="str">
        <x:v>FLAT 11, 33-35 DRAYCOTT PLACE, LONDON, SW3 2SH</x:v>
      </x:c>
      <x:c r="W491" s="63"/>
      <x:c r="X491" s="65" t="n">
        <x:f>TODAY()</x:f>
        <x:v>46250</x:v>
      </x:c>
    </x:row>
    <x:row r="492">
      <x:c r="A492" s="59" t="str">
        <x:v>MITCHELL</x:v>
      </x:c>
      <x:c r="B492" s="60" t="str">
        <x:v>MARK</x:v>
      </x:c>
      <x:c r="C492" s="60" t="str">
        <x:v>PAUL</x:v>
      </x:c>
      <x:c r="D492" s="61" t="n">
        <x:v>30419.5</x:v>
      </x:c>
      <x:c r="E492" s="62" t="n">
        <x:f>IF(OR(D492="",X492=""),"",IFERROR(DATEDIF(D492,X492,"y"),""))</x:f>
        <x:v>43</x:v>
      </x:c>
      <x:c r="F492" s="60" t="str">
        <x:v>PRINGLE</x:v>
      </x:c>
      <x:c r="G492" s="63" t="str">
        <x:v>07487258355</x:v>
      </x:c>
      <x:c r="H492" s="63"/>
      <x:c r="I492" s="61" t="n">
        <x:v>43952.5</x:v>
      </x:c>
      <x:c r="J492" s="64" t="n">
        <x:f>IF(OR(I492="",X492=""),"",IFERROR(DATEDIF(I492,X492,"m")/12,""))</x:f>
        <x:v>6.25</x:v>
      </x:c>
      <x:c r="K492" s="60" t="str">
        <x:v>FLAT 8 288-290, FULHAM ROAD, LONDON, SW10 9EW</x:v>
      </x:c>
      <x:c r="L492" s="60" t="str">
        <x:v> SW10 9EW</x:v>
      </x:c>
      <x:c r="M492" s="60"/>
      <x:c r="N492" s="60" t="str">
        <x:v>SW10 9EW</x:v>
      </x:c>
      <x:c r="O492" s="61"/>
      <x:c r="P492" s="64" t="str">
        <x:f>IF(OR(O492="",I492=""),"",IFERROR(DATEDIF(O492,I492,"m")/12,""))</x:f>
      </x:c>
      <x:c r="Q492" s="60"/>
      <x:c r="R492" s="61" t="n">
        <x:v>42767.5</x:v>
      </x:c>
      <x:c r="S492" s="64" t="n">
        <x:f>IF(OR(R492="",X492=""),"",IFERROR(DATEDIF(R492,X492,"m")/12,""))</x:f>
        <x:v>9.5</x:v>
      </x:c>
      <x:c r="T492" s="60" t="str">
        <x:v>FINE ART DEALER</x:v>
      </x:c>
      <x:c r="U492" s="60" t="str">
        <x:v>PAUL MICHELL LTD</x:v>
      </x:c>
      <x:c r="V492" s="60" t="str">
        <x:v>17 AVERY ROW, LONDON, W1K 4BF</x:v>
      </x:c>
      <x:c r="W492" s="63"/>
      <x:c r="X492" s="65" t="n">
        <x:f>TODAY()</x:f>
        <x:v>46250</x:v>
      </x:c>
    </x:row>
    <x:row r="493">
      <x:c r="A493" s="59" t="str">
        <x:v>MITCHELL</x:v>
      </x:c>
      <x:c r="B493" s="60" t="str">
        <x:v>DEAN</x:v>
      </x:c>
      <x:c r="C493" s="60" t="str">
        <x:v>MICHAEL</x:v>
      </x:c>
      <x:c r="D493" s="61" t="n">
        <x:v>30570.5</x:v>
      </x:c>
      <x:c r="E493" s="62" t="n">
        <x:f>IF(OR(D493="",X493=""),"",IFERROR(DATEDIF(D493,X493,"y"),""))</x:f>
        <x:v>42</x:v>
      </x:c>
      <x:c r="F493" s="60" t="str">
        <x:v>MITCHELL</x:v>
      </x:c>
      <x:c r="G493" s="63" t="str">
        <x:v>07508020346</x:v>
      </x:c>
      <x:c r="H493" s="63" t="str">
        <x:v>JG900934C</x:v>
      </x:c>
      <x:c r="I493" s="61" t="n">
        <x:v>43617.5</x:v>
      </x:c>
      <x:c r="J493" s="64" t="n">
        <x:f>IF(OR(I493="",X493=""),"",IFERROR(DATEDIF(I493,X493,"m")/12,""))</x:f>
        <x:v>7.166666666666667</x:v>
      </x:c>
      <x:c r="K493" s="60" t="str">
        <x:v>FLAT 3, 59 BONDWAY, LONDON, SW8 1SJ</x:v>
      </x:c>
      <x:c r="L493" s="60" t="str">
        <x:v> SW8 1SJ</x:v>
      </x:c>
      <x:c r="M493" s="60"/>
      <x:c r="N493" s="60" t="str">
        <x:v>SW8 1SJ</x:v>
      </x:c>
      <x:c r="O493" s="61" t="n">
        <x:v>43344.5</x:v>
      </x:c>
      <x:c r="P493" s="64" t="n">
        <x:f>IF(OR(O493="",I493=""),"",IFERROR(DATEDIF(O493,I493,"m")/12,""))</x:f>
        <x:v>0.75</x:v>
      </x:c>
      <x:c r="Q493" s="60" t="str">
        <x:v>4 WAVENEY CLOSE, LONDON, E1W 2JL</x:v>
      </x:c>
      <x:c r="R493" s="61"/>
      <x:c r="S493" s="64" t="str">
        <x:f>IF(OR(R493="",X493=""),"",IFERROR(DATEDIF(R493,X493,"m")/12,""))</x:f>
      </x:c>
      <x:c r="T493" s="60"/>
      <x:c r="U493" s="60"/>
      <x:c r="V493" s="60"/>
      <x:c r="W493" s="63"/>
      <x:c r="X493" s="65" t="n">
        <x:f>TODAY()</x:f>
        <x:v>46250</x:v>
      </x:c>
    </x:row>
    <x:row r="494">
      <x:c r="A494" s="59" t="str">
        <x:v>MITCHELL</x:v>
      </x:c>
      <x:c r="B494" s="60" t="str">
        <x:v>ALISON</x:v>
      </x:c>
      <x:c r="C494" s="60" t="str">
        <x:v>LYNLEY</x:v>
      </x:c>
      <x:c r="D494" s="61" t="n">
        <x:v>24746.5</x:v>
      </x:c>
      <x:c r="E494" s="62" t="n">
        <x:f>IF(OR(D494="",X494=""),"",IFERROR(DATEDIF(D494,X494,"y"),""))</x:f>
        <x:v>58</x:v>
      </x:c>
      <x:c r="F494" s="60"/>
      <x:c r="G494" s="63"/>
      <x:c r="H494" s="63"/>
      <x:c r="I494" s="61"/>
      <x:c r="J494" s="64" t="str">
        <x:f>IF(OR(I494="",X494=""),"",IFERROR(DATEDIF(I494,X494,"m")/12,""))</x:f>
      </x:c>
      <x:c r="K494" s="60"/>
      <x:c r="L494" s="60"/>
      <x:c r="M494" s="60"/>
      <x:c r="N494" s="60"/>
      <x:c r="O494" s="61"/>
      <x:c r="P494" s="64" t="str">
        <x:f>IF(OR(O494="",I494=""),"",IFERROR(DATEDIF(O494,I494,"m")/12,""))</x:f>
      </x:c>
      <x:c r="Q494" s="60"/>
      <x:c r="R494" s="61"/>
      <x:c r="S494" s="64" t="str">
        <x:f>IF(OR(R494="",X494=""),"",IFERROR(DATEDIF(R494,X494,"m")/12,""))</x:f>
      </x:c>
      <x:c r="T494" s="60"/>
      <x:c r="U494" s="60"/>
      <x:c r="V494" s="60"/>
      <x:c r="W494" s="63"/>
      <x:c r="X494" s="65" t="n">
        <x:f>TODAY()</x:f>
        <x:v>46250</x:v>
      </x:c>
    </x:row>
    <x:row r="495">
      <x:c r="A495" s="59" t="str">
        <x:v>MITCHELL-JARVIS</x:v>
      </x:c>
      <x:c r="B495" s="60" t="str">
        <x:v>LILY</x:v>
      </x:c>
      <x:c r="C495" s="60" t="str">
        <x:v>INDIA</x:v>
      </x:c>
      <x:c r="D495" s="61" t="n">
        <x:v>35602.5</x:v>
      </x:c>
      <x:c r="E495" s="62" t="n">
        <x:f>IF(OR(D495="",X495=""),"",IFERROR(DATEDIF(D495,X495,"y"),""))</x:f>
        <x:v>29</x:v>
      </x:c>
      <x:c r="F495" s="60"/>
      <x:c r="G495" s="63"/>
      <x:c r="H495" s="63"/>
      <x:c r="I495" s="61" t="n">
        <x:v>44044.5</x:v>
      </x:c>
      <x:c r="J495" s="64" t="n">
        <x:f>IF(OR(I495="",X495=""),"",IFERROR(DATEDIF(I495,X495,"m")/12,""))</x:f>
        <x:v>6</x:v>
      </x:c>
      <x:c r="K495" s="60" t="str">
        <x:v>FLAT 2, 268 FULHAM ROAD, LONDON, SW10 9EW</x:v>
      </x:c>
      <x:c r="L495" s="60" t="str">
        <x:v> SW10 9EW</x:v>
      </x:c>
      <x:c r="M495" s="60"/>
      <x:c r="N495" s="60" t="str">
        <x:v>SW10 9EW</x:v>
      </x:c>
      <x:c r="O495" s="61"/>
      <x:c r="P495" s="64" t="str">
        <x:f>IF(OR(O495="",I495=""),"",IFERROR(DATEDIF(O495,I495,"m")/12,""))</x:f>
      </x:c>
      <x:c r="Q495" s="60"/>
      <x:c r="R495" s="61"/>
      <x:c r="S495" s="64" t="str">
        <x:f>IF(OR(R495="",X495=""),"",IFERROR(DATEDIF(R495,X495,"m")/12,""))</x:f>
      </x:c>
      <x:c r="T495" s="60"/>
      <x:c r="U495" s="60"/>
      <x:c r="V495" s="60"/>
      <x:c r="W495" s="63"/>
      <x:c r="X495" s="65" t="n">
        <x:f>TODAY()</x:f>
        <x:v>46250</x:v>
      </x:c>
    </x:row>
    <x:row r="496">
      <x:c r="A496" s="59" t="str">
        <x:v>MIYAGISHIMA</x:v>
      </x:c>
      <x:c r="B496" s="60" t="str">
        <x:v>CHRISTINE</x:v>
      </x:c>
      <x:c r="C496" s="60" t="str">
        <x:v>ANNE</x:v>
      </x:c>
      <x:c r="D496" s="61" t="n">
        <x:v>28003.5</x:v>
      </x:c>
      <x:c r="E496" s="62" t="n">
        <x:f>IF(OR(D496="",X496=""),"",IFERROR(DATEDIF(D496,X496,"y"),""))</x:f>
        <x:v>49</x:v>
      </x:c>
      <x:c r="F496" s="60" t="str">
        <x:v>MIYAMOTO</x:v>
      </x:c>
      <x:c r="G496" s="63" t="str">
        <x:v>07395632292</x:v>
      </x:c>
      <x:c r="H496" s="63"/>
      <x:c r="I496" s="61" t="n">
        <x:v>42339.5</x:v>
      </x:c>
      <x:c r="J496" s="64" t="n">
        <x:f>IF(OR(I496="",X496=""),"",IFERROR(DATEDIF(I496,X496,"m")/12,""))</x:f>
        <x:v>10.666666666666666</x:v>
      </x:c>
      <x:c r="K496" s="60" t="str">
        <x:v>SOUTH PENTHOUSE, 1-8 KINGS MANSIONS, LAWRENCE STREET, LONDON, SW3 5ND</x:v>
      </x:c>
      <x:c r="L496" s="60" t="str">
        <x:v> SW3 5ND</x:v>
      </x:c>
      <x:c r="M496" s="60"/>
      <x:c r="N496" s="60" t="str">
        <x:v>SW3 5ND</x:v>
      </x:c>
      <x:c r="O496" s="61"/>
      <x:c r="P496" s="64" t="str">
        <x:f>IF(OR(O496="",I496=""),"",IFERROR(DATEDIF(O496,I496,"m")/12,""))</x:f>
      </x:c>
      <x:c r="Q496" s="60"/>
      <x:c r="R496" s="61" t="n">
        <x:v>43647.5</x:v>
      </x:c>
      <x:c r="S496" s="64" t="n">
        <x:f>IF(OR(R496="",X496=""),"",IFERROR(DATEDIF(R496,X496,"m")/12,""))</x:f>
        <x:v>7.083333333333333</x:v>
      </x:c>
      <x:c r="T496" s="60" t="str">
        <x:v>INVESTMENTS ANALYST</x:v>
      </x:c>
      <x:c r="U496" s="60" t="str">
        <x:v>FIDELITY INVESTMENTS</x:v>
      </x:c>
      <x:c r="V496" s="60"/>
      <x:c r="W496" s="63"/>
      <x:c r="X496" s="65" t="n">
        <x:f>TODAY()</x:f>
        <x:v>46250</x:v>
      </x:c>
    </x:row>
    <x:row r="497">
      <x:c r="A497" s="59" t="str">
        <x:v>MIYAGISHIMA</x:v>
      </x:c>
      <x:c r="B497" s="60" t="str">
        <x:v>CHRISTINE</x:v>
      </x:c>
      <x:c r="C497" s="60"/>
      <x:c r="D497" s="61"/>
      <x:c r="E497" s="62" t="str">
        <x:f>IF(OR(D497="",X497=""),"",IFERROR(DATEDIF(D497,X497,"y"),""))</x:f>
      </x:c>
      <x:c r="F497" s="60"/>
      <x:c r="G497" s="63"/>
      <x:c r="H497" s="63"/>
      <x:c r="I497" s="61"/>
      <x:c r="J497" s="64" t="str">
        <x:f>IF(OR(I497="",X497=""),"",IFERROR(DATEDIF(I497,X497,"m")/12,""))</x:f>
      </x:c>
      <x:c r="K497" s="60" t="str">
        <x:v>SOUTH PENTHOUSE, KINGS MANSIONS, LAWRENCE ST, LONDON SW3 5ND</x:v>
      </x:c>
      <x:c r="L497" s="60"/>
      <x:c r="M497" s="60"/>
      <x:c r="N497" s="60"/>
      <x:c r="O497" s="61"/>
      <x:c r="P497" s="64" t="str">
        <x:f>IF(OR(O497="",I497=""),"",IFERROR(DATEDIF(O497,I497,"m")/12,""))</x:f>
      </x:c>
      <x:c r="Q497" s="60"/>
      <x:c r="R497" s="61"/>
      <x:c r="S497" s="64" t="str">
        <x:f>IF(OR(R497="",X497=""),"",IFERROR(DATEDIF(R497,X497,"m")/12,""))</x:f>
      </x:c>
      <x:c r="T497" s="60"/>
      <x:c r="U497" s="60"/>
      <x:c r="V497" s="60"/>
      <x:c r="W497" s="63"/>
      <x:c r="X497" s="65" t="n">
        <x:f>TODAY()</x:f>
        <x:v>46250</x:v>
      </x:c>
    </x:row>
    <x:row r="498">
      <x:c r="A498" s="59" t="str">
        <x:v>MIZRAHI</x:v>
      </x:c>
      <x:c r="B498" s="60" t="str">
        <x:v>NOAH</x:v>
      </x:c>
      <x:c r="C498" s="60" t="n">
        <x:v>77</x:v>
      </x:c>
      <x:c r="D498" s="61" t="n">
        <x:v>32994.5</x:v>
      </x:c>
      <x:c r="E498" s="62" t="n">
        <x:f>IF(OR(D498="",X498=""),"",IFERROR(DATEDIF(D498,X498,"y"),""))</x:f>
        <x:v>36</x:v>
      </x:c>
      <x:c r="F498" s="60"/>
      <x:c r="G498" s="63"/>
      <x:c r="H498" s="63"/>
      <x:c r="I498" s="61"/>
      <x:c r="J498" s="64" t="str">
        <x:f>IF(OR(I498="",X498=""),"",IFERROR(DATEDIF(I498,X498,"m")/12,""))</x:f>
      </x:c>
      <x:c r="K498" s="60" t="str">
        <x:v>47A CLANRICARDE GARDENS, LONDON, W2 4JN</x:v>
      </x:c>
      <x:c r="L498" s="60" t="str">
        <x:v> W2 4JN</x:v>
      </x:c>
      <x:c r="M498" s="60"/>
      <x:c r="N498" s="60" t="str">
        <x:v>W2 4JN</x:v>
      </x:c>
      <x:c r="O498" s="61"/>
      <x:c r="P498" s="64" t="str">
        <x:f>IF(OR(O498="",I498=""),"",IFERROR(DATEDIF(O498,I498,"m")/12,""))</x:f>
      </x:c>
      <x:c r="Q498" s="60"/>
      <x:c r="R498" s="61"/>
      <x:c r="S498" s="64" t="str">
        <x:f>IF(OR(R498="",X498=""),"",IFERROR(DATEDIF(R498,X498,"m")/12,""))</x:f>
      </x:c>
      <x:c r="T498" s="60"/>
      <x:c r="U498" s="60"/>
      <x:c r="V498" s="60"/>
      <x:c r="W498" s="63"/>
      <x:c r="X498" s="65" t="n">
        <x:f>TODAY()</x:f>
        <x:v>46250</x:v>
      </x:c>
    </x:row>
    <x:row r="499">
      <x:c r="A499" s="59" t="str">
        <x:v>MOFTAKHARI</x:v>
      </x:c>
      <x:c r="B499" s="60" t="str">
        <x:v>TOURAN</x:v>
      </x:c>
      <x:c r="C499" s="60"/>
      <x:c r="D499" s="61"/>
      <x:c r="E499" s="62" t="str">
        <x:f>IF(OR(D499="",X499=""),"",IFERROR(DATEDIF(D499,X499,"y"),""))</x:f>
      </x:c>
      <x:c r="F499" s="60"/>
      <x:c r="G499" s="63"/>
      <x:c r="H499" s="63"/>
      <x:c r="I499" s="61"/>
      <x:c r="J499" s="64" t="str">
        <x:f>IF(OR(I499="",X499=""),"",IFERROR(DATEDIF(I499,X499,"m")/12,""))</x:f>
      </x:c>
      <x:c r="K499" s="60" t="str">
        <x:v>FLAT 4,
30-31 PHILBEACH GARDENS, LONDON,
SW59EB</x:v>
      </x:c>
      <x:c r="L499" s="60" t="str">
        <x:v>
SW59EB</x:v>
      </x:c>
      <x:c r="M499" s="60"/>
      <x:c r="N499" s="60" t="str">
        <x:v>SW59EB</x:v>
      </x:c>
      <x:c r="O499" s="61"/>
      <x:c r="P499" s="64" t="str">
        <x:f>IF(OR(O499="",I499=""),"",IFERROR(DATEDIF(O499,I499,"m")/12,""))</x:f>
      </x:c>
      <x:c r="Q499" s="60" t="str">
        <x:v>72, ELSHAM ROAD, LONDON, W14 8HH</x:v>
      </x:c>
      <x:c r="R499" s="61"/>
      <x:c r="S499" s="64" t="str">
        <x:f>IF(OR(R499="",X499=""),"",IFERROR(DATEDIF(R499,X499,"m")/12,""))</x:f>
      </x:c>
      <x:c r="T499" s="60"/>
      <x:c r="U499" s="60"/>
      <x:c r="V499" s="60"/>
      <x:c r="W499" s="63"/>
      <x:c r="X499" s="65" t="n">
        <x:f>TODAY()</x:f>
        <x:v>46250</x:v>
      </x:c>
    </x:row>
    <x:row r="500">
      <x:c r="A500" s="59" t="str">
        <x:v>MOIN</x:v>
      </x:c>
      <x:c r="B500" s="60" t="str">
        <x:v>FARAZ</x:v>
      </x:c>
      <x:c r="C500" s="60"/>
      <x:c r="D500" s="61" t="n">
        <x:v>30418.5</x:v>
      </x:c>
      <x:c r="E500" s="62" t="n">
        <x:f>IF(OR(D500="",X500=""),"",IFERROR(DATEDIF(D500,X500,"y"),""))</x:f>
        <x:v>43</x:v>
      </x:c>
      <x:c r="F500" s="60" t="str">
        <x:v>MOIN</x:v>
      </x:c>
      <x:c r="G500" s="63" t="str">
        <x:v>07508273664</x:v>
      </x:c>
      <x:c r="H500" s="63"/>
      <x:c r="I500" s="61" t="n">
        <x:v>42644.5</x:v>
      </x:c>
      <x:c r="J500" s="64" t="n">
        <x:f>IF(OR(I500="",X500=""),"",IFERROR(DATEDIF(I500,X500,"m")/12,""))</x:f>
        <x:v>9.833333333333334</x:v>
      </x:c>
      <x:c r="K500" s="60" t="str">
        <x:v>FLAT 27, 12 PORCHESTER GARDENS, LONDON, W2 4DF</x:v>
      </x:c>
      <x:c r="L500" s="60" t="str">
        <x:v> W2 4DF</x:v>
      </x:c>
      <x:c r="M500" s="60"/>
      <x:c r="N500" s="60" t="str">
        <x:v>W2 4DF</x:v>
      </x:c>
      <x:c r="O500" s="61"/>
      <x:c r="P500" s="64" t="str">
        <x:f>IF(OR(O500="",I500=""),"",IFERROR(DATEDIF(O500,I500,"m")/12,""))</x:f>
      </x:c>
      <x:c r="Q500" s="60"/>
      <x:c r="R500" s="61" t="n">
        <x:v>42248.5</x:v>
      </x:c>
      <x:c r="S500" s="64" t="n">
        <x:f>IF(OR(R500="",X500=""),"",IFERROR(DATEDIF(R500,X500,"m")/12,""))</x:f>
        <x:v>10.916666666666666</x:v>
      </x:c>
      <x:c r="T500" s="60" t="str">
        <x:v>PROGRAMME MANAGER</x:v>
      </x:c>
      <x:c r="U500" s="60" t="str">
        <x:v>DELOITTE</x:v>
      </x:c>
      <x:c r="V500" s="60" t="str">
        <x:v>85 TOTTENHAM COURT ROAD, LONDON, LONDON, W1T 4TQ</x:v>
      </x:c>
      <x:c r="W500" s="63"/>
      <x:c r="X500" s="65" t="n">
        <x:f>TODAY()</x:f>
        <x:v>46250</x:v>
      </x:c>
    </x:row>
    <x:row r="501">
      <x:c r="A501" s="59" t="str">
        <x:v>MOK</x:v>
      </x:c>
      <x:c r="B501" s="60" t="str">
        <x:v>HONG</x:v>
      </x:c>
      <x:c r="C501" s="60" t="str">
        <x:v>GYUN</x:v>
      </x:c>
      <x:c r="D501" s="61" t="n">
        <x:v>19413.5</x:v>
      </x:c>
      <x:c r="E501" s="62" t="n">
        <x:f>IF(OR(D501="",X501=""),"",IFERROR(DATEDIF(D501,X501,"y"),""))</x:f>
        <x:v>73</x:v>
      </x:c>
      <x:c r="F501" s="60"/>
      <x:c r="G501" s="63"/>
      <x:c r="H501" s="63"/>
      <x:c r="I501" s="61" t="n">
        <x:v>43313.5</x:v>
      </x:c>
      <x:c r="J501" s="64" t="n">
        <x:f>IF(OR(I501="",X501=""),"",IFERROR(DATEDIF(I501,X501,"m")/12,""))</x:f>
        <x:v>8</x:v>
      </x:c>
      <x:c r="K501" s="60" t="str">
        <x:v>29 MUSEUM STREET, LONDON WC1A 1LH</x:v>
      </x:c>
      <x:c r="L501" s="60"/>
      <x:c r="M501" s="60"/>
      <x:c r="N501" s="60"/>
      <x:c r="O501" s="61" t="n">
        <x:v>33725.5</x:v>
      </x:c>
      <x:c r="P501" s="64" t="n">
        <x:f>IF(OR(O501="",I501=""),"",IFERROR(DATEDIF(O501,I501,"m")/12,""))</x:f>
        <x:v>26.25</x:v>
      </x:c>
      <x:c r="Q501" s="60" t="str">
        <x:v>33, WISE LANE, , LONDON, NW7 2RN</x:v>
      </x:c>
      <x:c r="R501" s="61"/>
      <x:c r="S501" s="64" t="str">
        <x:f>IF(OR(R501="",X501=""),"",IFERROR(DATEDIF(R501,X501,"m")/12,""))</x:f>
      </x:c>
      <x:c r="T501" s="60"/>
      <x:c r="U501" s="60"/>
      <x:c r="V501" s="60"/>
      <x:c r="W501" s="63"/>
      <x:c r="X501" s="65" t="n">
        <x:f>TODAY()</x:f>
        <x:v>46250</x:v>
      </x:c>
    </x:row>
    <x:row r="502">
      <x:c r="A502" s="59" t="str">
        <x:v>MOLDALIEVA</x:v>
      </x:c>
      <x:c r="B502" s="60" t="str">
        <x:v>INDIRA</x:v>
      </x:c>
      <x:c r="C502" s="60"/>
      <x:c r="D502" s="61" t="n">
        <x:v>30751.5</x:v>
      </x:c>
      <x:c r="E502" s="62" t="n">
        <x:f>IF(OR(D502="",X502=""),"",IFERROR(DATEDIF(D502,X502,"y"),""))</x:f>
        <x:v>42</x:v>
      </x:c>
      <x:c r="F502" s="60"/>
      <x:c r="G502" s="63"/>
      <x:c r="H502" s="63"/>
      <x:c r="I502" s="61"/>
      <x:c r="J502" s="64" t="str">
        <x:f>IF(OR(I502="",X502=""),"",IFERROR(DATEDIF(I502,X502,"m")/12,""))</x:f>
      </x:c>
      <x:c r="K502" s="60"/>
      <x:c r="L502" s="60"/>
      <x:c r="M502" s="60"/>
      <x:c r="N502" s="60"/>
      <x:c r="O502" s="61"/>
      <x:c r="P502" s="64" t="str">
        <x:f>IF(OR(O502="",I502=""),"",IFERROR(DATEDIF(O502,I502,"m")/12,""))</x:f>
      </x:c>
      <x:c r="Q502" s="60"/>
      <x:c r="R502" s="61" t="n">
        <x:v>42795.5</x:v>
      </x:c>
      <x:c r="S502" s="64" t="n">
        <x:f>IF(OR(R502="",X502=""),"",IFERROR(DATEDIF(R502,X502,"m")/12,""))</x:f>
        <x:v>9.416666666666666</x:v>
      </x:c>
      <x:c r="T502" s="60" t="str">
        <x:v>FRONT OF HOUSE MANAGER</x:v>
      </x:c>
      <x:c r="U502" s="60" t="str">
        <x:v>SBE LIFESTYLE HOSPITALITY</x:v>
      </x:c>
      <x:c r="V502" s="60"/>
      <x:c r="W502" s="63"/>
      <x:c r="X502" s="65" t="n">
        <x:f>TODAY()</x:f>
        <x:v>46250</x:v>
      </x:c>
    </x:row>
    <x:row r="503">
      <x:c r="A503" s="59" t="str">
        <x:v>MOLINA</x:v>
      </x:c>
      <x:c r="B503" s="60" t="str">
        <x:v>CARLOS</x:v>
      </x:c>
      <x:c r="C503" s="60"/>
      <x:c r="D503" s="61"/>
      <x:c r="E503" s="62" t="str">
        <x:f>IF(OR(D503="",X503=""),"",IFERROR(DATEDIF(D503,X503,"y"),""))</x:f>
      </x:c>
      <x:c r="F503" s="60"/>
      <x:c r="G503" s="63"/>
      <x:c r="H503" s="63"/>
      <x:c r="I503" s="61"/>
      <x:c r="J503" s="64" t="str">
        <x:f>IF(OR(I503="",X503=""),"",IFERROR(DATEDIF(I503,X503,"m")/12,""))</x:f>
      </x:c>
      <x:c r="K503" s="60" t="str">
        <x:v>FLAT , 45 BREWER STREET, W1F 9UE</x:v>
      </x:c>
      <x:c r="L503" s="60"/>
      <x:c r="M503" s="60"/>
      <x:c r="N503" s="60"/>
      <x:c r="O503" s="61"/>
      <x:c r="P503" s="64" t="str">
        <x:f>IF(OR(O503="",I503=""),"",IFERROR(DATEDIF(O503,I503,"m")/12,""))</x:f>
      </x:c>
      <x:c r="Q503" s="60"/>
      <x:c r="R503" s="61"/>
      <x:c r="S503" s="64" t="str">
        <x:f>IF(OR(R503="",X503=""),"",IFERROR(DATEDIF(R503,X503,"m")/12,""))</x:f>
      </x:c>
      <x:c r="T503" s="60"/>
      <x:c r="U503" s="60"/>
      <x:c r="V503" s="60"/>
      <x:c r="W503" s="63"/>
      <x:c r="X503" s="65" t="n">
        <x:f>TODAY()</x:f>
        <x:v>46250</x:v>
      </x:c>
    </x:row>
    <x:row r="504">
      <x:c r="A504" s="59" t="str">
        <x:v>MONCANA</x:v>
      </x:c>
      <x:c r="B504" s="60" t="str">
        <x:v>ALINA</x:v>
      </x:c>
      <x:c r="C504" s="60"/>
      <x:c r="D504" s="61" t="n">
        <x:v>32224.5</x:v>
      </x:c>
      <x:c r="E504" s="62" t="n">
        <x:f>IF(OR(D504="",X504=""),"",IFERROR(DATEDIF(D504,X504,"y"),""))</x:f>
        <x:v>38</x:v>
      </x:c>
      <x:c r="F504" s="60"/>
      <x:c r="G504" s="63"/>
      <x:c r="H504" s="63"/>
      <x:c r="I504" s="61" t="n">
        <x:v>42430.5</x:v>
      </x:c>
      <x:c r="J504" s="64" t="n">
        <x:f>IF(OR(I504="",X504=""),"",IFERROR(DATEDIF(I504,X504,"m")/12,""))</x:f>
        <x:v>10.416666666666666</x:v>
      </x:c>
      <x:c r="K504" s="60" t="str">
        <x:v>FLAT 7, 61-63 GLOUCESTER TERRACE, LONDON, W2 3DH</x:v>
      </x:c>
      <x:c r="L504" s="60" t="str">
        <x:v> W2 3DH</x:v>
      </x:c>
      <x:c r="M504" s="60"/>
      <x:c r="N504" s="60" t="str">
        <x:v>W2 3DH</x:v>
      </x:c>
      <x:c r="O504" s="61"/>
      <x:c r="P504" s="64" t="str">
        <x:f>IF(OR(O504="",I504=""),"",IFERROR(DATEDIF(O504,I504,"m")/12,""))</x:f>
      </x:c>
      <x:c r="Q504" s="60"/>
      <x:c r="R504" s="61"/>
      <x:c r="S504" s="64" t="str">
        <x:f>IF(OR(R504="",X504=""),"",IFERROR(DATEDIF(R504,X504,"m")/12,""))</x:f>
      </x:c>
      <x:c r="T504" s="60"/>
      <x:c r="U504" s="60"/>
      <x:c r="V504" s="60"/>
      <x:c r="W504" s="63"/>
      <x:c r="X504" s="65" t="n">
        <x:f>TODAY()</x:f>
        <x:v>46250</x:v>
      </x:c>
    </x:row>
    <x:row r="505">
      <x:c r="A505" s="59" t="str">
        <x:v>MONTEGU</x:v>
      </x:c>
      <x:c r="B505" s="60" t="str">
        <x:v>ALIZEE</x:v>
      </x:c>
      <x:c r="C505" s="60"/>
      <x:c r="D505" s="61" t="n">
        <x:v>34219.5</x:v>
      </x:c>
      <x:c r="E505" s="62" t="n">
        <x:f>IF(OR(D505="",X505=""),"",IFERROR(DATEDIF(D505,X505,"y"),""))</x:f>
        <x:v>32</x:v>
      </x:c>
      <x:c r="F505" s="60"/>
      <x:c r="G505" s="63"/>
      <x:c r="H505" s="63"/>
      <x:c r="I505" s="61" t="n">
        <x:v>43101.5</x:v>
      </x:c>
      <x:c r="J505" s="64" t="n">
        <x:f>IF(OR(I505="",X505=""),"",IFERROR(DATEDIF(I505,X505,"m")/12,""))</x:f>
        <x:v>8.583333333333334</x:v>
      </x:c>
      <x:c r="K505" s="60" t="str">
        <x:v>FLAT 10, 67 INVERNESSS TERRACE, LONDON, W2 3JT</x:v>
      </x:c>
      <x:c r="L505" s="60" t="str">
        <x:v> W2 3JT</x:v>
      </x:c>
      <x:c r="M505" s="60"/>
      <x:c r="N505" s="60" t="str">
        <x:v>W2 3JT</x:v>
      </x:c>
      <x:c r="O505" s="61" t="n">
        <x:v>1.5</x:v>
      </x:c>
      <x:c r="P505" s="64" t="n">
        <x:f>IF(OR(O505="",I505=""),"",IFERROR(DATEDIF(O505,I505,"m")/12,""))</x:f>
        <x:v>118</x:v>
      </x:c>
      <x:c r="Q505" s="60"/>
      <x:c r="R505" s="61" t="n">
        <x:v>44652.5</x:v>
      </x:c>
      <x:c r="S505" s="64" t="n">
        <x:f>IF(OR(R505="",X505=""),"",IFERROR(DATEDIF(R505,X505,"m")/12,""))</x:f>
        <x:v>4.333333333333333</x:v>
      </x:c>
      <x:c r="T505" s="60" t="str">
        <x:v>LETTING CONSULTANT</x:v>
      </x:c>
      <x:c r="U505" s="60" t="str">
        <x:v>P&amp;C CHRIS GARSTON/GARTYON JONES REAL ESTATE</x:v>
      </x:c>
      <x:c r="V505" s="60" t="str">
        <x:v>CHELSEA BRIDGE WHARF, 3 OSWALD BUILDING, LONDONSW8 4NU</x:v>
      </x:c>
      <x:c r="W505" s="63"/>
      <x:c r="X505" s="65" t="n">
        <x:f>TODAY()</x:f>
        <x:v>46250</x:v>
      </x:c>
    </x:row>
    <x:row r="506">
      <x:c r="A506" s="59" t="str">
        <x:v>MONTI</x:v>
      </x:c>
      <x:c r="B506" s="60" t="str">
        <x:v>ANTONIO</x:v>
      </x:c>
      <x:c r="C506" s="60"/>
      <x:c r="D506" s="61"/>
      <x:c r="E506" s="62" t="str">
        <x:f>IF(OR(D506="",X506=""),"",IFERROR(DATEDIF(D506,X506,"y"),""))</x:f>
      </x:c>
      <x:c r="F506" s="60"/>
      <x:c r="G506" s="63"/>
      <x:c r="H506" s="63"/>
      <x:c r="I506" s="61"/>
      <x:c r="J506" s="64" t="str">
        <x:f>IF(OR(I506="",X506=""),"",IFERROR(DATEDIF(I506,X506,"m")/12,""))</x:f>
      </x:c>
      <x:c r="K506" s="60" t="str">
        <x:v>26 CLEVELAND GARDENS, PADDINGTON,LONDON, W2 6DE</x:v>
      </x:c>
      <x:c r="L506" s="60" t="str">
        <x:v> W2 6DE</x:v>
      </x:c>
      <x:c r="M506" s="60"/>
      <x:c r="N506" s="60" t="str">
        <x:v>W2 6DE</x:v>
      </x:c>
      <x:c r="O506" s="61"/>
      <x:c r="P506" s="64" t="str">
        <x:f>IF(OR(O506="",I506=""),"",IFERROR(DATEDIF(O506,I506,"m")/12,""))</x:f>
      </x:c>
      <x:c r="Q506" s="60"/>
      <x:c r="R506" s="61"/>
      <x:c r="S506" s="64" t="str">
        <x:f>IF(OR(R506="",X506=""),"",IFERROR(DATEDIF(R506,X506,"m")/12,""))</x:f>
      </x:c>
      <x:c r="T506" s="60"/>
      <x:c r="U506" s="60"/>
      <x:c r="V506" s="60"/>
      <x:c r="W506" s="63"/>
      <x:c r="X506" s="65" t="n">
        <x:f>TODAY()</x:f>
        <x:v>46250</x:v>
      </x:c>
    </x:row>
    <x:row r="507">
      <x:c r="A507" s="59" t="str">
        <x:v>MONTRESOR</x:v>
      </x:c>
      <x:c r="B507" s="60" t="str">
        <x:v>PAOLO</x:v>
      </x:c>
      <x:c r="C507" s="60"/>
      <x:c r="D507" s="61" t="n">
        <x:v>28557.5</x:v>
      </x:c>
      <x:c r="E507" s="62" t="n">
        <x:f>IF(OR(D507="",X507=""),"",IFERROR(DATEDIF(D507,X507,"y"),""))</x:f>
        <x:v>48</x:v>
      </x:c>
      <x:c r="F507" s="60"/>
      <x:c r="G507" s="63"/>
      <x:c r="H507" s="63"/>
      <x:c r="I507" s="61" t="n">
        <x:v>43405.5</x:v>
      </x:c>
      <x:c r="J507" s="64" t="n">
        <x:f>IF(OR(I507="",X507=""),"",IFERROR(DATEDIF(I507,X507,"m")/12,""))</x:f>
        <x:v>7.75</x:v>
      </x:c>
      <x:c r="K507" s="60" t="str">
        <x:v>FLAT 6 , 268 FULHAM ROAD, LONDON, UNITED KINGDOM, SW10 9EW</x:v>
      </x:c>
      <x:c r="L507" s="60" t="str">
        <x:v> UNITED KINGDOM, SW10 9EW</x:v>
      </x:c>
      <x:c r="M507" s="60"/>
      <x:c r="N507" s="60" t="str">
        <x:v> SW10 9EW</x:v>
      </x:c>
      <x:c r="O507" s="61" t="n">
        <x:v>41760.5</x:v>
      </x:c>
      <x:c r="P507" s="64" t="n">
        <x:f>IF(OR(O507="",I507=""),"",IFERROR(DATEDIF(O507,I507,"m")/12,""))</x:f>
        <x:v>4.5</x:v>
      </x:c>
      <x:c r="Q507" s="60" t="str">
        <x:v>14D BOLTON GARDENS, LONDON, SW5 0AL</x:v>
      </x:c>
      <x:c r="R507" s="61" t="n">
        <x:v>42917.5</x:v>
      </x:c>
      <x:c r="S507" s="64" t="n">
        <x:f>IF(OR(R507="",X507=""),"",IFERROR(DATEDIF(R507,X507,"m")/12,""))</x:f>
        <x:v>9.083333333333334</x:v>
      </x:c>
      <x:c r="T507" s="60" t="str">
        <x:v>ACCOUNT EXECUTIVE</x:v>
      </x:c>
      <x:c r="U507" s="60" t="str">
        <x:v>UNICREDIT BANK AG</x:v>
      </x:c>
      <x:c r="V507" s="60" t="str">
        <x:v>MOOR HOUSE, 120 LONDON WALL, LONDON EC2Y 5ET</x:v>
      </x:c>
      <x:c r="W507" s="63" t="str">
        <x:v>02078261000</x:v>
      </x:c>
      <x:c r="X507" s="65" t="n">
        <x:f>TODAY()</x:f>
        <x:v>46250</x:v>
      </x:c>
    </x:row>
    <x:row r="508">
      <x:c r="A508" s="59" t="str">
        <x:v>MOORE</x:v>
      </x:c>
      <x:c r="B508" s="60" t="str">
        <x:v>CARSON</x:v>
      </x:c>
      <x:c r="C508" s="60"/>
      <x:c r="D508" s="61" t="n">
        <x:v>29827.5</x:v>
      </x:c>
      <x:c r="E508" s="62" t="n">
        <x:f>IF(OR(D508="",X508=""),"",IFERROR(DATEDIF(D508,X508,"y"),""))</x:f>
        <x:v>44</x:v>
      </x:c>
      <x:c r="F508" s="60"/>
      <x:c r="G508" s="63"/>
      <x:c r="H508" s="63"/>
      <x:c r="I508" s="61"/>
      <x:c r="J508" s="64" t="str">
        <x:f>IF(OR(I508="",X508=""),"",IFERROR(DATEDIF(I508,X508,"m")/12,""))</x:f>
      </x:c>
      <x:c r="K508" s="60" t="str">
        <x:v>53A LANCASTER GATE, LONDON, W23NA</x:v>
      </x:c>
      <x:c r="L508" s="60" t="str">
        <x:v> W23NA</x:v>
      </x:c>
      <x:c r="M508" s="60"/>
      <x:c r="N508" s="60" t="str">
        <x:v>W23NA</x:v>
      </x:c>
      <x:c r="O508" s="61"/>
      <x:c r="P508" s="64" t="str">
        <x:f>IF(OR(O508="",I508=""),"",IFERROR(DATEDIF(O508,I508,"m")/12,""))</x:f>
      </x:c>
      <x:c r="Q508" s="60"/>
      <x:c r="R508" s="61"/>
      <x:c r="S508" s="64" t="str">
        <x:f>IF(OR(R508="",X508=""),"",IFERROR(DATEDIF(R508,X508,"m")/12,""))</x:f>
      </x:c>
      <x:c r="T508" s="60"/>
      <x:c r="U508" s="60"/>
      <x:c r="V508" s="60"/>
      <x:c r="W508" s="63"/>
      <x:c r="X508" s="65" t="n">
        <x:f>TODAY()</x:f>
        <x:v>46250</x:v>
      </x:c>
    </x:row>
    <x:row r="509">
      <x:c r="A509" s="59" t="str">
        <x:v>MOORER</x:v>
      </x:c>
      <x:c r="B509" s="60" t="str">
        <x:v>EARL</x:v>
      </x:c>
      <x:c r="C509" s="60" t="str">
        <x:v>NATHANIEL</x:v>
      </x:c>
      <x:c r="D509" s="61" t="n">
        <x:v>32587.5</x:v>
      </x:c>
      <x:c r="E509" s="62" t="n">
        <x:f>IF(OR(D509="",X509=""),"",IFERROR(DATEDIF(D509,X509,"y"),""))</x:f>
        <x:v>37</x:v>
      </x:c>
      <x:c r="F509" s="60" t="str">
        <x:v>GOODWINE</x:v>
      </x:c>
      <x:c r="G509" s="63" t="str">
        <x:v>07572482072</x:v>
      </x:c>
      <x:c r="H509" s="63"/>
      <x:c r="I509" s="61" t="n">
        <x:v>43132.5</x:v>
      </x:c>
      <x:c r="J509" s="64" t="n">
        <x:f>IF(OR(I509="",X509=""),"",IFERROR(DATEDIF(I509,X509,"m")/12,""))</x:f>
        <x:v>8.5</x:v>
      </x:c>
      <x:c r="K509" s="60" t="str">
        <x:v>FLAT 4, 423A NORTH END ROAD LONDON, SW6 1NY</x:v>
      </x:c>
      <x:c r="L509" s="60" t="str">
        <x:v> SW6 1NY</x:v>
      </x:c>
      <x:c r="M509" s="60"/>
      <x:c r="N509" s="60" t="str">
        <x:v>SW6 1NY</x:v>
      </x:c>
      <x:c r="O509" s="61"/>
      <x:c r="P509" s="64" t="str">
        <x:f>IF(OR(O509="",I509=""),"",IFERROR(DATEDIF(O509,I509,"m")/12,""))</x:f>
      </x:c>
      <x:c r="Q509" s="60"/>
      <x:c r="R509" s="61"/>
      <x:c r="S509" s="64" t="str">
        <x:f>IF(OR(R509="",X509=""),"",IFERROR(DATEDIF(R509,X509,"m")/12,""))</x:f>
      </x:c>
      <x:c r="T509" s="60"/>
      <x:c r="U509" s="60"/>
      <x:c r="V509" s="60"/>
      <x:c r="W509" s="63"/>
      <x:c r="X509" s="65" t="n">
        <x:f>TODAY()</x:f>
        <x:v>46250</x:v>
      </x:c>
    </x:row>
    <x:row r="510">
      <x:c r="A510" s="59" t="str">
        <x:v>MORETTI</x:v>
      </x:c>
      <x:c r="B510" s="60" t="str">
        <x:v>GABRIELE</x:v>
      </x:c>
      <x:c r="C510" s="60" t="str">
        <x:v>ROMANO</x:v>
      </x:c>
      <x:c r="D510" s="61" t="n">
        <x:v>27102.5</x:v>
      </x:c>
      <x:c r="E510" s="62" t="n">
        <x:f>IF(OR(D510="",X510=""),"",IFERROR(DATEDIF(D510,X510,"y"),""))</x:f>
        <x:v>52</x:v>
      </x:c>
      <x:c r="F510" s="60" t="str">
        <x:v>EGIDI</x:v>
      </x:c>
      <x:c r="G510" s="63"/>
      <x:c r="H510" s="63"/>
      <x:c r="I510" s="61"/>
      <x:c r="J510" s="64" t="str">
        <x:f>IF(OR(I510="",X510=""),"",IFERROR(DATEDIF(I510,X510,"m")/12,""))</x:f>
      </x:c>
      <x:c r="K510" s="60" t="str">
        <x:v>510 FULHAM ROAD, LONDON, SW6 5NJ</x:v>
      </x:c>
      <x:c r="L510" s="60" t="str">
        <x:v> SW6 5NJ</x:v>
      </x:c>
      <x:c r="M510" s="60"/>
      <x:c r="N510" s="60" t="str">
        <x:v>SW6 5NJ</x:v>
      </x:c>
      <x:c r="O510" s="61"/>
      <x:c r="P510" s="64" t="str">
        <x:f>IF(OR(O510="",I510=""),"",IFERROR(DATEDIF(O510,I510,"m")/12,""))</x:f>
      </x:c>
      <x:c r="Q510" s="60"/>
      <x:c r="R510" s="61"/>
      <x:c r="S510" s="64" t="str">
        <x:f>IF(OR(R510="",X510=""),"",IFERROR(DATEDIF(R510,X510,"m")/12,""))</x:f>
      </x:c>
      <x:c r="T510" s="60"/>
      <x:c r="U510" s="60"/>
      <x:c r="V510" s="60"/>
      <x:c r="W510" s="63"/>
      <x:c r="X510" s="65" t="n">
        <x:f>TODAY()</x:f>
        <x:v>46250</x:v>
      </x:c>
    </x:row>
    <x:row r="511">
      <x:c r="A511" s="59" t="str">
        <x:v>MORISSON</x:v>
      </x:c>
      <x:c r="B511" s="60" t="str">
        <x:v>SUZANNE</x:v>
      </x:c>
      <x:c r="C511" s="60"/>
      <x:c r="D511" s="61" t="n">
        <x:v>28562.5</x:v>
      </x:c>
      <x:c r="E511" s="62" t="n">
        <x:f>IF(OR(D511="",X511=""),"",IFERROR(DATEDIF(D511,X511,"y"),""))</x:f>
        <x:v>48</x:v>
      </x:c>
      <x:c r="F511" s="60"/>
      <x:c r="G511" s="63"/>
      <x:c r="H511" s="63"/>
      <x:c r="I511" s="61"/>
      <x:c r="J511" s="64" t="str">
        <x:f>IF(OR(I511="",X511=""),"",IFERROR(DATEDIF(I511,X511,"m")/12,""))</x:f>
      </x:c>
      <x:c r="K511" s="60"/>
      <x:c r="L511" s="60"/>
      <x:c r="M511" s="60"/>
      <x:c r="N511" s="60"/>
      <x:c r="O511" s="61"/>
      <x:c r="P511" s="64" t="str">
        <x:f>IF(OR(O511="",I511=""),"",IFERROR(DATEDIF(O511,I511,"m")/12,""))</x:f>
      </x:c>
      <x:c r="Q511" s="60"/>
      <x:c r="R511" s="61"/>
      <x:c r="S511" s="64" t="str">
        <x:f>IF(OR(R511="",X511=""),"",IFERROR(DATEDIF(R511,X511,"m")/12,""))</x:f>
      </x:c>
      <x:c r="T511" s="60"/>
      <x:c r="U511" s="60"/>
      <x:c r="V511" s="60"/>
      <x:c r="W511" s="63"/>
      <x:c r="X511" s="65" t="n">
        <x:f>TODAY()</x:f>
        <x:v>46250</x:v>
      </x:c>
    </x:row>
    <x:row r="512">
      <x:c r="A512" s="59" t="str">
        <x:v>MORRIS</x:v>
      </x:c>
      <x:c r="B512" s="60" t="str">
        <x:v>JOSHUA</x:v>
      </x:c>
      <x:c r="C512" s="60" t="str">
        <x:v>RHYS</x:v>
      </x:c>
      <x:c r="D512" s="61" t="n">
        <x:v>34782.5</x:v>
      </x:c>
      <x:c r="E512" s="62" t="n">
        <x:f>IF(OR(D512="",X512=""),"",IFERROR(DATEDIF(D512,X512,"y"),""))</x:f>
        <x:v>31</x:v>
      </x:c>
      <x:c r="F512" s="60" t="str">
        <x:v>STARK</x:v>
      </x:c>
      <x:c r="G512" s="63" t="str">
        <x:v>07514706467</x:v>
      </x:c>
      <x:c r="H512" s="63"/>
      <x:c r="I512" s="61" t="n">
        <x:v>43374.5</x:v>
      </x:c>
      <x:c r="J512" s="64" t="n">
        <x:f>IF(OR(I512="",X512=""),"",IFERROR(DATEDIF(I512,X512,"m")/12,""))</x:f>
        <x:v>7.833333333333333</x:v>
      </x:c>
      <x:c r="K512" s="60" t="str">
        <x:v>FLAT 6, 6 WINDMILL DRIVE, LONDON, SW49DE</x:v>
      </x:c>
      <x:c r="L512" s="60" t="str">
        <x:v> SW49DE</x:v>
      </x:c>
      <x:c r="M512" s="60"/>
      <x:c r="N512" s="60" t="str">
        <x:v>SW49DE</x:v>
      </x:c>
      <x:c r="O512" s="61"/>
      <x:c r="P512" s="64" t="str">
        <x:f>IF(OR(O512="",I512=""),"",IFERROR(DATEDIF(O512,I512,"m")/12,""))</x:f>
      </x:c>
      <x:c r="Q512" s="60"/>
      <x:c r="R512" s="61" t="n">
        <x:v>44866.5</x:v>
      </x:c>
      <x:c r="S512" s="64" t="n">
        <x:f>IF(OR(R512="",X512=""),"",IFERROR(DATEDIF(R512,X512,"m")/12,""))</x:f>
        <x:v>3.75</x:v>
      </x:c>
      <x:c r="T512" s="60" t="str">
        <x:v>SENIOR QUANTUM CONSULTANT</x:v>
      </x:c>
      <x:c r="U512" s="60" t="str">
        <x:v>J.S. HELD LLC</x:v>
      </x:c>
      <x:c r="V512" s="60" t="str">
        <x:v>18 ST SWITHIN'S LN, CITY OF LONDON, LONDON EC4N 8AD</x:v>
      </x:c>
      <x:c r="W512" s="63"/>
      <x:c r="X512" s="65" t="n">
        <x:f>TODAY()</x:f>
        <x:v>46250</x:v>
      </x:c>
    </x:row>
    <x:row r="513">
      <x:c r="A513" s="59" t="str">
        <x:v>MORRIS</x:v>
      </x:c>
      <x:c r="B513" s="60" t="str">
        <x:v>ELIZABETH</x:v>
      </x:c>
      <x:c r="C513" s="60" t="str">
        <x:v>JILL</x:v>
      </x:c>
      <x:c r="D513" s="61" t="n">
        <x:v>20000.5</x:v>
      </x:c>
      <x:c r="E513" s="62" t="n">
        <x:f>IF(OR(D513="",X513=""),"",IFERROR(DATEDIF(D513,X513,"y"),""))</x:f>
        <x:v>71</x:v>
      </x:c>
      <x:c r="F513" s="60" t="str">
        <x:v>DANIELS</x:v>
      </x:c>
      <x:c r="G513" s="63"/>
      <x:c r="H513" s="63"/>
      <x:c r="I513" s="61"/>
      <x:c r="J513" s="64" t="str">
        <x:f>IF(OR(I513="",X513=""),"",IFERROR(DATEDIF(I513,X513,"m")/12,""))</x:f>
      </x:c>
      <x:c r="K513" s="60"/>
      <x:c r="L513" s="60"/>
      <x:c r="M513" s="60"/>
      <x:c r="N513" s="60"/>
      <x:c r="O513" s="61"/>
      <x:c r="P513" s="64" t="str">
        <x:f>IF(OR(O513="",I513=""),"",IFERROR(DATEDIF(O513,I513,"m")/12,""))</x:f>
      </x:c>
      <x:c r="Q513" s="60"/>
      <x:c r="R513" s="61"/>
      <x:c r="S513" s="64" t="str">
        <x:f>IF(OR(R513="",X513=""),"",IFERROR(DATEDIF(R513,X513,"m")/12,""))</x:f>
      </x:c>
      <x:c r="T513" s="60"/>
      <x:c r="U513" s="60"/>
      <x:c r="V513" s="60"/>
      <x:c r="W513" s="63"/>
      <x:c r="X513" s="65" t="n">
        <x:f>TODAY()</x:f>
        <x:v>46250</x:v>
      </x:c>
    </x:row>
    <x:row r="514">
      <x:c r="A514" s="59" t="str">
        <x:v>MORRONE</x:v>
      </x:c>
      <x:c r="B514" s="60" t="str">
        <x:v>LUCA</x:v>
      </x:c>
      <x:c r="C514" s="60"/>
      <x:c r="D514" s="61" t="n">
        <x:v>34468.5</x:v>
      </x:c>
      <x:c r="E514" s="62" t="n">
        <x:f>IF(OR(D514="",X514=""),"",IFERROR(DATEDIF(D514,X514,"y"),""))</x:f>
        <x:v>32</x:v>
      </x:c>
      <x:c r="F514" s="60" t="str">
        <x:v>BACCI</x:v>
      </x:c>
      <x:c r="G514" s="63"/>
      <x:c r="H514" s="63"/>
      <x:c r="I514" s="61"/>
      <x:c r="J514" s="64" t="str">
        <x:f>IF(OR(I514="",X514=""),"",IFERROR(DATEDIF(I514,X514,"m")/12,""))</x:f>
      </x:c>
      <x:c r="K514" s="60" t="str">
        <x:v>FLAT 5, 376 NORTH END ROAD, LONDON, SW6 1LY</x:v>
      </x:c>
      <x:c r="L514" s="60" t="str">
        <x:v> SW6 1LY</x:v>
      </x:c>
      <x:c r="M514" s="60"/>
      <x:c r="N514" s="60" t="str">
        <x:v>SW6 1LY</x:v>
      </x:c>
      <x:c r="O514" s="61"/>
      <x:c r="P514" s="64" t="str">
        <x:f>IF(OR(O514="",I514=""),"",IFERROR(DATEDIF(O514,I514,"m")/12,""))</x:f>
      </x:c>
      <x:c r="Q514" s="60"/>
      <x:c r="R514" s="61"/>
      <x:c r="S514" s="64" t="str">
        <x:f>IF(OR(R514="",X514=""),"",IFERROR(DATEDIF(R514,X514,"m")/12,""))</x:f>
      </x:c>
      <x:c r="T514" s="60"/>
      <x:c r="U514" s="60"/>
      <x:c r="V514" s="60"/>
      <x:c r="W514" s="63"/>
      <x:c r="X514" s="65" t="n">
        <x:f>TODAY()</x:f>
        <x:v>46250</x:v>
      </x:c>
    </x:row>
    <x:row r="515">
      <x:c r="A515" s="59" t="str">
        <x:v>MORTIMER-SMITH</x:v>
      </x:c>
      <x:c r="B515" s="60" t="str">
        <x:v>NADINE</x:v>
      </x:c>
      <x:c r="C515" s="60"/>
      <x:c r="D515" s="61" t="n">
        <x:v>27105.5</x:v>
      </x:c>
      <x:c r="E515" s="62" t="n">
        <x:f>IF(OR(D515="",X515=""),"",IFERROR(DATEDIF(D515,X515,"y"),""))</x:f>
        <x:v>52</x:v>
      </x:c>
      <x:c r="F515" s="60"/>
      <x:c r="G515" s="63"/>
      <x:c r="H515" s="63"/>
      <x:c r="I515" s="61"/>
      <x:c r="J515" s="64" t="str">
        <x:f>IF(OR(I515="",X515=""),"",IFERROR(DATEDIF(I515,X515,"m")/12,""))</x:f>
      </x:c>
      <x:c r="K515" s="60"/>
      <x:c r="L515" s="60"/>
      <x:c r="M515" s="60"/>
      <x:c r="N515" s="60"/>
      <x:c r="O515" s="61"/>
      <x:c r="P515" s="64" t="str">
        <x:f>IF(OR(O515="",I515=""),"",IFERROR(DATEDIF(O515,I515,"m")/12,""))</x:f>
      </x:c>
      <x:c r="Q515" s="60"/>
      <x:c r="R515" s="61"/>
      <x:c r="S515" s="64" t="str">
        <x:f>IF(OR(R515="",X515=""),"",IFERROR(DATEDIF(R515,X515,"m")/12,""))</x:f>
      </x:c>
      <x:c r="T515" s="60"/>
      <x:c r="U515" s="60"/>
      <x:c r="V515" s="60"/>
      <x:c r="W515" s="63"/>
      <x:c r="X515" s="65" t="n">
        <x:f>TODAY()</x:f>
        <x:v>46250</x:v>
      </x:c>
    </x:row>
    <x:row r="516">
      <x:c r="A516" s="59" t="str">
        <x:v>MOTALLEBI</x:v>
      </x:c>
      <x:c r="B516" s="60" t="str">
        <x:v>NAZANIN</x:v>
      </x:c>
      <x:c r="C516" s="60"/>
      <x:c r="D516" s="61" t="n">
        <x:v>31787.5</x:v>
      </x:c>
      <x:c r="E516" s="62" t="n">
        <x:f>IF(OR(D516="",X516=""),"",IFERROR(DATEDIF(D516,X516,"y"),""))</x:f>
        <x:v>39</x:v>
      </x:c>
      <x:c r="F516" s="60" t="str">
        <x:v>MOTALLEBI</x:v>
      </x:c>
      <x:c r="G516" s="63"/>
      <x:c r="H516" s="63"/>
      <x:c r="I516" s="61" t="n">
        <x:v>43070.5</x:v>
      </x:c>
      <x:c r="J516" s="64" t="n">
        <x:f>IF(OR(I516="",X516=""),"",IFERROR(DATEDIF(I516,X516,"m")/12,""))</x:f>
        <x:v>8.666666666666666</x:v>
      </x:c>
      <x:c r="K516" s="60" t="str">
        <x:v>FLAT 4, 27 REDCLIFFE SQUARE, LONDON, SW10 9JX</x:v>
      </x:c>
      <x:c r="L516" s="60" t="str">
        <x:v> SW10 9JX</x:v>
      </x:c>
      <x:c r="M516" s="60"/>
      <x:c r="N516" s="60" t="str">
        <x:v>SW10 9JX</x:v>
      </x:c>
      <x:c r="O516" s="61" t="n">
        <x:v>41760.5</x:v>
      </x:c>
      <x:c r="P516" s="64" t="n">
        <x:f>IF(OR(O516="",I516=""),"",IFERROR(DATEDIF(O516,I516,"m")/12,""))</x:f>
        <x:v>3.5833333333333335</x:v>
      </x:c>
      <x:c r="Q516" s="60" t="str">
        <x:v>FLAT 1, HALE HOUSE, 27 LINDSAY SQUARE, LONDON, SW1V 2HS</x:v>
      </x:c>
      <x:c r="R516" s="61" t="n">
        <x:v>44287.5</x:v>
      </x:c>
      <x:c r="S516" s="64" t="n">
        <x:f>IF(OR(R516="",X516=""),"",IFERROR(DATEDIF(R516,X516,"m")/12,""))</x:f>
        <x:v>5.333333333333333</x:v>
      </x:c>
      <x:c r="T516" s="60" t="str">
        <x:v>SENIOR CONSULTANT</x:v>
      </x:c>
      <x:c r="U516" s="60" t="str">
        <x:v>DATAHEAD</x:v>
      </x:c>
      <x:c r="V516" s="60" t="str">
        <x:v>6TH FLOOR, 2 KINGDOM STREET, LONDON, W2 6BD</x:v>
      </x:c>
      <x:c r="W516" s="63" t="str">
        <x:v>03330151644</x:v>
      </x:c>
      <x:c r="X516" s="65" t="n">
        <x:f>TODAY()</x:f>
        <x:v>46250</x:v>
      </x:c>
    </x:row>
    <x:row r="517">
      <x:c r="A517" s="59" t="str">
        <x:v>MOTTE</x:v>
      </x:c>
      <x:c r="B517" s="60" t="str">
        <x:v>ALEXANDER</x:v>
      </x:c>
      <x:c r="C517" s="60" t="str">
        <x:v>THERENCE</x:v>
      </x:c>
      <x:c r="D517" s="61" t="n">
        <x:v>30687.5</x:v>
      </x:c>
      <x:c r="E517" s="62" t="n">
        <x:f>IF(OR(D517="",X517=""),"",IFERROR(DATEDIF(D517,X517,"y"),""))</x:f>
        <x:v>42</x:v>
      </x:c>
      <x:c r="F517" s="60"/>
      <x:c r="G517" s="63"/>
      <x:c r="H517" s="63"/>
      <x:c r="I517" s="61"/>
      <x:c r="J517" s="64" t="str">
        <x:f>IF(OR(I517="",X517=""),"",IFERROR(DATEDIF(I517,X517,"m")/12,""))</x:f>
      </x:c>
      <x:c r="K517" s="60" t="str">
        <x:v>FLAT C, 74 PHILBEACH GARDENS LONDON</x:v>
      </x:c>
      <x:c r="L517" s="60"/>
      <x:c r="M517" s="60"/>
      <x:c r="N517" s="60"/>
      <x:c r="O517" s="61"/>
      <x:c r="P517" s="64" t="str">
        <x:f>IF(OR(O517="",I517=""),"",IFERROR(DATEDIF(O517,I517,"m")/12,""))</x:f>
      </x:c>
      <x:c r="Q517" s="60"/>
      <x:c r="R517" s="61"/>
      <x:c r="S517" s="64" t="str">
        <x:f>IF(OR(R517="",X517=""),"",IFERROR(DATEDIF(R517,X517,"m")/12,""))</x:f>
      </x:c>
      <x:c r="T517" s="60"/>
      <x:c r="U517" s="60"/>
      <x:c r="V517" s="60"/>
      <x:c r="W517" s="63"/>
      <x:c r="X517" s="65" t="n">
        <x:f>TODAY()</x:f>
        <x:v>46250</x:v>
      </x:c>
    </x:row>
    <x:row r="518">
      <x:c r="A518" s="59" t="str">
        <x:v>MULANGA</x:v>
      </x:c>
      <x:c r="B518" s="60" t="str">
        <x:v>SAGESSE</x:v>
      </x:c>
      <x:c r="C518" s="60"/>
      <x:c r="D518" s="61" t="n">
        <x:v>27128.5</x:v>
      </x:c>
      <x:c r="E518" s="62" t="n">
        <x:f>IF(OR(D518="",X518=""),"",IFERROR(DATEDIF(D518,X518,"y"),""))</x:f>
        <x:v>52</x:v>
      </x:c>
      <x:c r="F518" s="60" t="str">
        <x:v>MULANGA</x:v>
      </x:c>
      <x:c r="G518" s="63"/>
      <x:c r="H518" s="63"/>
      <x:c r="I518" s="61"/>
      <x:c r="J518" s="64" t="str">
        <x:f>IF(OR(I518="",X518=""),"",IFERROR(DATEDIF(I518,X518,"m")/12,""))</x:f>
      </x:c>
      <x:c r="K518" s="60"/>
      <x:c r="L518" s="60"/>
      <x:c r="M518" s="60"/>
      <x:c r="N518" s="60"/>
      <x:c r="O518" s="61"/>
      <x:c r="P518" s="64" t="str">
        <x:f>IF(OR(O518="",I518=""),"",IFERROR(DATEDIF(O518,I518,"m")/12,""))</x:f>
      </x:c>
      <x:c r="Q518" s="60"/>
      <x:c r="R518" s="61"/>
      <x:c r="S518" s="64" t="str">
        <x:f>IF(OR(R518="",X518=""),"",IFERROR(DATEDIF(R518,X518,"m")/12,""))</x:f>
      </x:c>
      <x:c r="T518" s="60"/>
      <x:c r="U518" s="60"/>
      <x:c r="V518" s="60"/>
      <x:c r="W518" s="63"/>
      <x:c r="X518" s="65" t="n">
        <x:f>TODAY()</x:f>
        <x:v>46250</x:v>
      </x:c>
    </x:row>
    <x:row r="519">
      <x:c r="A519" s="59" t="str">
        <x:v>MULLHOLLAND</x:v>
      </x:c>
      <x:c r="B519" s="60" t="str">
        <x:v>WILLIAM</x:v>
      </x:c>
      <x:c r="C519" s="60"/>
      <x:c r="D519" s="61"/>
      <x:c r="E519" s="62" t="str">
        <x:f>IF(OR(D519="",X519=""),"",IFERROR(DATEDIF(D519,X519,"y"),""))</x:f>
      </x:c>
      <x:c r="F519" s="60"/>
      <x:c r="G519" s="63"/>
      <x:c r="H519" s="63"/>
      <x:c r="I519" s="61"/>
      <x:c r="J519" s="64" t="str">
        <x:f>IF(OR(I519="",X519=""),"",IFERROR(DATEDIF(I519,X519,"m")/12,""))</x:f>
      </x:c>
      <x:c r="K519" s="60" t="str">
        <x:v>FLAT 14, 75 GLOUCESTER TERRACE LONDON, W2 3DH</x:v>
      </x:c>
      <x:c r="L519" s="60" t="str">
        <x:v> W2 3DH</x:v>
      </x:c>
      <x:c r="M519" s="60"/>
      <x:c r="N519" s="60" t="str">
        <x:v>W2 3DH</x:v>
      </x:c>
      <x:c r="O519" s="61"/>
      <x:c r="P519" s="64" t="str">
        <x:f>IF(OR(O519="",I519=""),"",IFERROR(DATEDIF(O519,I519,"m")/12,""))</x:f>
      </x:c>
      <x:c r="Q519" s="60" t="str">
        <x:v>6, BASEMENT, QUEENS GARDENS, LONDON, UNITED KINGDOM, W2 3BA</x:v>
      </x:c>
      <x:c r="R519" s="61"/>
      <x:c r="S519" s="64" t="str">
        <x:f>IF(OR(R519="",X519=""),"",IFERROR(DATEDIF(R519,X519,"m")/12,""))</x:f>
      </x:c>
      <x:c r="T519" s="60"/>
      <x:c r="U519" s="60"/>
      <x:c r="V519" s="60"/>
      <x:c r="W519" s="63"/>
      <x:c r="X519" s="65" t="n">
        <x:f>TODAY()</x:f>
        <x:v>46250</x:v>
      </x:c>
    </x:row>
    <x:row r="520">
      <x:c r="A520" s="59" t="str">
        <x:v>MULRY</x:v>
      </x:c>
      <x:c r="B520" s="60" t="str">
        <x:v>EDNA</x:v>
      </x:c>
      <x:c r="C520" s="60"/>
      <x:c r="D520" s="61"/>
      <x:c r="E520" s="62" t="str">
        <x:f>IF(OR(D520="",X520=""),"",IFERROR(DATEDIF(D520,X520,"y"),""))</x:f>
      </x:c>
      <x:c r="F520" s="60"/>
      <x:c r="G520" s="63"/>
      <x:c r="H520" s="63"/>
      <x:c r="I520" s="61"/>
      <x:c r="J520" s="64" t="str">
        <x:f>IF(OR(I520="",X520=""),"",IFERROR(DATEDIF(I520,X520,"m")/12,""))</x:f>
      </x:c>
      <x:c r="K520" s="60" t="str">
        <x:v>FLAT 10, 59 BONDWAY, LONDON SW8 1SJ</x:v>
      </x:c>
      <x:c r="L520" s="60"/>
      <x:c r="M520" s="60"/>
      <x:c r="N520" s="60"/>
      <x:c r="O520" s="61"/>
      <x:c r="P520" s="64" t="str">
        <x:f>IF(OR(O520="",I520=""),"",IFERROR(DATEDIF(O520,I520,"m")/12,""))</x:f>
      </x:c>
      <x:c r="Q520" s="60"/>
      <x:c r="R520" s="61"/>
      <x:c r="S520" s="64" t="str">
        <x:f>IF(OR(R520="",X520=""),"",IFERROR(DATEDIF(R520,X520,"m")/12,""))</x:f>
      </x:c>
      <x:c r="T520" s="60"/>
      <x:c r="U520" s="60"/>
      <x:c r="V520" s="60"/>
      <x:c r="W520" s="63"/>
      <x:c r="X520" s="65" t="n">
        <x:f>TODAY()</x:f>
        <x:v>46250</x:v>
      </x:c>
    </x:row>
    <x:row r="521">
      <x:c r="A521" s="59" t="str">
        <x:v>MULVAGH</x:v>
      </x:c>
      <x:c r="B521" s="60" t="str">
        <x:v>TIM</x:v>
      </x:c>
      <x:c r="C521" s="60" t="str">
        <x:v>ROBERT</x:v>
      </x:c>
      <x:c r="D521" s="61" t="n">
        <x:v>21913.5</x:v>
      </x:c>
      <x:c r="E521" s="62" t="n">
        <x:f>IF(OR(D521="",X521=""),"",IFERROR(DATEDIF(D521,X521,"y"),""))</x:f>
        <x:v>66</x:v>
      </x:c>
      <x:c r="F521" s="60" t="str">
        <x:v>KAVANAGH</x:v>
      </x:c>
      <x:c r="G521" s="63"/>
      <x:c r="H521" s="63"/>
      <x:c r="I521" s="61" t="n">
        <x:v>37469.5</x:v>
      </x:c>
      <x:c r="J521" s="64" t="n">
        <x:f>IF(OR(I521="",X521=""),"",IFERROR(DATEDIF(I521,X521,"m")/12,""))</x:f>
        <x:v>24</x:v>
      </x:c>
      <x:c r="K521" s="60" t="str">
        <x:v>FLAT 6, 163 CROMWELL ROAD, LODNON, SW5 0SQ</x:v>
      </x:c>
      <x:c r="L521" s="60"/>
      <x:c r="M521" s="60"/>
      <x:c r="N521" s="60"/>
      <x:c r="O521" s="61"/>
      <x:c r="P521" s="64" t="str">
        <x:f>IF(OR(O521="",I521=""),"",IFERROR(DATEDIF(O521,I521,"m")/12,""))</x:f>
      </x:c>
      <x:c r="Q521" s="60"/>
      <x:c r="R521" s="61"/>
      <x:c r="S521" s="64" t="str">
        <x:f>IF(OR(R521="",X521=""),"",IFERROR(DATEDIF(R521,X521,"m")/12,""))</x:f>
      </x:c>
      <x:c r="T521" s="60"/>
      <x:c r="U521" s="60"/>
      <x:c r="V521" s="60"/>
      <x:c r="W521" s="63"/>
      <x:c r="X521" s="65" t="n">
        <x:f>TODAY()</x:f>
        <x:v>46250</x:v>
      </x:c>
    </x:row>
    <x:row r="522">
      <x:c r="A522" s="59" t="str">
        <x:v>MURPHY</x:v>
      </x:c>
      <x:c r="B522" s="60" t="str">
        <x:v>HANNAH</x:v>
      </x:c>
      <x:c r="C522" s="60"/>
      <x:c r="D522" s="61" t="n">
        <x:v>34030.5</x:v>
      </x:c>
      <x:c r="E522" s="62" t="n">
        <x:f>IF(OR(D522="",X522=""),"",IFERROR(DATEDIF(D522,X522,"y"),""))</x:f>
        <x:v>33</x:v>
      </x:c>
      <x:c r="F522" s="60"/>
      <x:c r="G522" s="63"/>
      <x:c r="H522" s="63"/>
      <x:c r="I522" s="61"/>
      <x:c r="J522" s="64" t="str">
        <x:f>IF(OR(I522="",X522=""),"",IFERROR(DATEDIF(I522,X522,"m")/12,""))</x:f>
      </x:c>
      <x:c r="K522" s="60"/>
      <x:c r="L522" s="60"/>
      <x:c r="M522" s="60"/>
      <x:c r="N522" s="60"/>
      <x:c r="O522" s="61"/>
      <x:c r="P522" s="64" t="str">
        <x:f>IF(OR(O522="",I522=""),"",IFERROR(DATEDIF(O522,I522,"m")/12,""))</x:f>
      </x:c>
      <x:c r="Q522" s="60"/>
      <x:c r="R522" s="61"/>
      <x:c r="S522" s="64" t="str">
        <x:f>IF(OR(R522="",X522=""),"",IFERROR(DATEDIF(R522,X522,"m")/12,""))</x:f>
      </x:c>
      <x:c r="T522" s="60"/>
      <x:c r="U522" s="60"/>
      <x:c r="V522" s="60"/>
      <x:c r="W522" s="63"/>
      <x:c r="X522" s="65" t="n">
        <x:f>TODAY()</x:f>
        <x:v>46250</x:v>
      </x:c>
    </x:row>
    <x:row r="523">
      <x:c r="A523" s="59" t="str">
        <x:v>N</x:v>
      </x:c>
      <x:c r="B523" s="60"/>
      <x:c r="C523" s="60"/>
      <x:c r="D523" s="61"/>
      <x:c r="E523" s="62" t="str">
        <x:f>IF(OR(D523="",X523=""),"",IFERROR(DATEDIF(D523,X523,"y"),""))</x:f>
      </x:c>
      <x:c r="F523" s="60"/>
      <x:c r="G523" s="63"/>
      <x:c r="H523" s="63"/>
      <x:c r="I523" s="61"/>
      <x:c r="J523" s="64" t="str">
        <x:f>IF(OR(I523="",X523=""),"",IFERROR(DATEDIF(I523,X523,"m")/12,""))</x:f>
      </x:c>
      <x:c r="K523" s="60"/>
      <x:c r="L523" s="60"/>
      <x:c r="M523" s="60"/>
      <x:c r="N523" s="60"/>
      <x:c r="O523" s="61"/>
      <x:c r="P523" s="64" t="str">
        <x:f>IF(OR(O523="",I523=""),"",IFERROR(DATEDIF(O523,I523,"m")/12,""))</x:f>
      </x:c>
      <x:c r="Q523" s="60"/>
      <x:c r="R523" s="61"/>
      <x:c r="S523" s="64" t="str">
        <x:f>IF(OR(R523="",X523=""),"",IFERROR(DATEDIF(R523,X523,"m")/12,""))</x:f>
      </x:c>
      <x:c r="T523" s="60"/>
      <x:c r="U523" s="60"/>
      <x:c r="V523" s="60"/>
      <x:c r="W523" s="63"/>
      <x:c r="X523" s="65" t="n">
        <x:f>TODAY()</x:f>
        <x:v>46250</x:v>
      </x:c>
    </x:row>
    <x:row r="524">
      <x:c r="A524" s="59" t="str">
        <x:v>NACHMAN</x:v>
      </x:c>
      <x:c r="B524" s="60" t="str">
        <x:v>GIDEON</x:v>
      </x:c>
      <x:c r="C524" s="60" t="str">
        <x:v>WEINFELD</x:v>
      </x:c>
      <x:c r="D524" s="61" t="n">
        <x:v>34381.5</x:v>
      </x:c>
      <x:c r="E524" s="62" t="n">
        <x:f>IF(OR(D524="",X524=""),"",IFERROR(DATEDIF(D524,X524,"y"),""))</x:f>
        <x:v>32</x:v>
      </x:c>
      <x:c r="F524" s="60"/>
      <x:c r="G524" s="63"/>
      <x:c r="H524" s="63"/>
      <x:c r="I524" s="61"/>
      <x:c r="J524" s="64" t="str">
        <x:f>IF(OR(I524="",X524=""),"",IFERROR(DATEDIF(I524,X524,"m")/12,""))</x:f>
      </x:c>
      <x:c r="K524" s="60"/>
      <x:c r="L524" s="60"/>
      <x:c r="M524" s="60"/>
      <x:c r="N524" s="60"/>
      <x:c r="O524" s="61"/>
      <x:c r="P524" s="64" t="str">
        <x:f>IF(OR(O524="",I524=""),"",IFERROR(DATEDIF(O524,I524,"m")/12,""))</x:f>
      </x:c>
      <x:c r="Q524" s="60"/>
      <x:c r="R524" s="61"/>
      <x:c r="S524" s="64" t="str">
        <x:f>IF(OR(R524="",X524=""),"",IFERROR(DATEDIF(R524,X524,"m")/12,""))</x:f>
      </x:c>
      <x:c r="T524" s="60"/>
      <x:c r="U524" s="60"/>
      <x:c r="V524" s="60"/>
      <x:c r="W524" s="63"/>
      <x:c r="X524" s="65" t="n">
        <x:f>TODAY()</x:f>
        <x:v>46250</x:v>
      </x:c>
    </x:row>
    <x:row r="525">
      <x:c r="A525" s="59" t="str">
        <x:v>NAMOR</x:v>
      </x:c>
      <x:c r="B525" s="60" t="str">
        <x:v>AGNES</x:v>
      </x:c>
      <x:c r="C525" s="60"/>
      <x:c r="D525" s="61" t="n">
        <x:v>24766.5</x:v>
      </x:c>
      <x:c r="E525" s="62" t="n">
        <x:f>IF(OR(D525="",X525=""),"",IFERROR(DATEDIF(D525,X525,"y"),""))</x:f>
        <x:v>58</x:v>
      </x:c>
      <x:c r="F525" s="60"/>
      <x:c r="G525" s="63"/>
      <x:c r="H525" s="63"/>
      <x:c r="I525" s="61"/>
      <x:c r="J525" s="64" t="str">
        <x:f>IF(OR(I525="",X525=""),"",IFERROR(DATEDIF(I525,X525,"m")/12,""))</x:f>
      </x:c>
      <x:c r="K525" s="60" t="str">
        <x:v>11 QUEENS GATE, LONDON, SW7 5EL</x:v>
      </x:c>
      <x:c r="L525" s="60" t="str">
        <x:v> SW7 5EL</x:v>
      </x:c>
      <x:c r="M525" s="60"/>
      <x:c r="N525" s="60" t="str">
        <x:v>SW7 5EL</x:v>
      </x:c>
      <x:c r="O525" s="61"/>
      <x:c r="P525" s="64" t="str">
        <x:f>IF(OR(O525="",I525=""),"",IFERROR(DATEDIF(O525,I525,"m")/12,""))</x:f>
      </x:c>
      <x:c r="Q525" s="60"/>
      <x:c r="R525" s="61"/>
      <x:c r="S525" s="64" t="str">
        <x:f>IF(OR(R525="",X525=""),"",IFERROR(DATEDIF(R525,X525,"m")/12,""))</x:f>
      </x:c>
      <x:c r="T525" s="60"/>
      <x:c r="U525" s="60"/>
      <x:c r="V525" s="60"/>
      <x:c r="W525" s="63"/>
      <x:c r="X525" s="65" t="n">
        <x:f>TODAY()</x:f>
        <x:v>46250</x:v>
      </x:c>
    </x:row>
    <x:row r="526">
      <x:c r="A526" s="59" t="str">
        <x:v>NASSIF</x:v>
      </x:c>
      <x:c r="B526" s="60" t="str">
        <x:v>ROXANNA</x:v>
      </x:c>
      <x:c r="C526" s="60" t="str">
        <x:v>LARIZADEH</x:v>
      </x:c>
      <x:c r="D526" s="61" t="n">
        <x:v>31866.5</x:v>
      </x:c>
      <x:c r="E526" s="62" t="n">
        <x:f>IF(OR(D526="",X526=""),"",IFERROR(DATEDIF(D526,X526,"y"),""))</x:f>
        <x:v>39</x:v>
      </x:c>
      <x:c r="F526" s="60"/>
      <x:c r="G526" s="63"/>
      <x:c r="H526" s="63"/>
      <x:c r="I526" s="61"/>
      <x:c r="J526" s="64" t="str">
        <x:f>IF(OR(I526="",X526=""),"",IFERROR(DATEDIF(I526,X526,"m")/12,""))</x:f>
      </x:c>
      <x:c r="K526" s="60" t="str">
        <x:v>FLAT D, 1 QUEENS GATE PLACE, LONDON, SW6 5NS</x:v>
      </x:c>
      <x:c r="L526" s="60" t="str">
        <x:v> SW6 5NS</x:v>
      </x:c>
      <x:c r="M526" s="60"/>
      <x:c r="N526" s="60" t="str">
        <x:v>SW6 5NS</x:v>
      </x:c>
      <x:c r="O526" s="61"/>
      <x:c r="P526" s="64" t="str">
        <x:f>IF(OR(O526="",I526=""),"",IFERROR(DATEDIF(O526,I526,"m")/12,""))</x:f>
      </x:c>
      <x:c r="Q526" s="60"/>
      <x:c r="R526" s="61"/>
      <x:c r="S526" s="64" t="str">
        <x:f>IF(OR(R526="",X526=""),"",IFERROR(DATEDIF(R526,X526,"m")/12,""))</x:f>
      </x:c>
      <x:c r="T526" s="60"/>
      <x:c r="U526" s="60"/>
      <x:c r="V526" s="60"/>
      <x:c r="W526" s="63"/>
      <x:c r="X526" s="65" t="n">
        <x:f>TODAY()</x:f>
        <x:v>46250</x:v>
      </x:c>
    </x:row>
    <x:row r="527">
      <x:c r="A527" s="59" t="str">
        <x:v>NIELD</x:v>
      </x:c>
      <x:c r="B527" s="60" t="str">
        <x:v>ROGER</x:v>
      </x:c>
      <x:c r="C527" s="60" t="str">
        <x:v>LEWIS</x:v>
      </x:c>
      <x:c r="D527" s="61" t="n">
        <x:v>23507.5</x:v>
      </x:c>
      <x:c r="E527" s="62" t="n">
        <x:f>IF(OR(D527="",X527=""),"",IFERROR(DATEDIF(D527,X527,"y"),""))</x:f>
        <x:v>62</x:v>
      </x:c>
      <x:c r="F527" s="60" t="str">
        <x:v>DU FEU</x:v>
      </x:c>
      <x:c r="G527" s="63"/>
      <x:c r="H527" s="63"/>
      <x:c r="I527" s="61" t="n">
        <x:v>36800.5</x:v>
      </x:c>
      <x:c r="J527" s="64" t="n">
        <x:f>IF(OR(I527="",X527=""),"",IFERROR(DATEDIF(I527,X527,"m")/12,""))</x:f>
        <x:v>25.833333333333332</x:v>
      </x:c>
      <x:c r="K527" s="60" t="str">
        <x:v>FLAT 10, QUEENS COURT, 25-27 EARLS COURT SQUARE, LONDON, SW5 9DA</x:v>
      </x:c>
      <x:c r="L527" s="60" t="str">
        <x:v> SW5 9DA</x:v>
      </x:c>
      <x:c r="M527" s="60"/>
      <x:c r="N527" s="60" t="str">
        <x:v>SW5 9DA</x:v>
      </x:c>
      <x:c r="O527" s="61"/>
      <x:c r="P527" s="64" t="str">
        <x:f>IF(OR(O527="",I527=""),"",IFERROR(DATEDIF(O527,I527,"m")/12,""))</x:f>
      </x:c>
      <x:c r="Q527" s="60"/>
      <x:c r="R527" s="61" t="n">
        <x:v>40299.5</x:v>
      </x:c>
      <x:c r="S527" s="64" t="n">
        <x:f>IF(OR(R527="",X527=""),"",IFERROR(DATEDIF(R527,X527,"m")/12,""))</x:f>
        <x:v>16.25</x:v>
      </x:c>
      <x:c r="T527" s="60" t="str">
        <x:v>OWNER</x:v>
      </x:c>
      <x:c r="U527" s="60" t="str">
        <x:v>BLAZEFIELD TOVEY LIMITED</x:v>
      </x:c>
      <x:c r="V527" s="60"/>
      <x:c r="W527" s="63"/>
      <x:c r="X527" s="65" t="n">
        <x:f>TODAY()</x:f>
        <x:v>46250</x:v>
      </x:c>
    </x:row>
    <x:row r="528">
      <x:c r="A528" s="59" t="str">
        <x:v>NIGHTINGALE</x:v>
      </x:c>
      <x:c r="B528" s="60" t="str">
        <x:v>JOE</x:v>
      </x:c>
      <x:c r="C528" s="60" t="str">
        <x:v>HARVEY</x:v>
      </x:c>
      <x:c r="D528" s="61" t="n">
        <x:v>34470.5</x:v>
      </x:c>
      <x:c r="E528" s="62" t="n">
        <x:f>IF(OR(D528="",X528=""),"",IFERROR(DATEDIF(D528,X528,"y"),""))</x:f>
        <x:v>32</x:v>
      </x:c>
      <x:c r="F528" s="60"/>
      <x:c r="G528" s="63"/>
      <x:c r="H528" s="63"/>
      <x:c r="I528" s="61" t="n">
        <x:v>40817.5</x:v>
      </x:c>
      <x:c r="J528" s="64" t="n">
        <x:f>IF(OR(I528="",X528=""),"",IFERROR(DATEDIF(I528,X528,"m")/12,""))</x:f>
        <x:v>14.833333333333334</x:v>
      </x:c>
      <x:c r="K528" s="60" t="str">
        <x:v>BRIXLEY BUNGALOW, BROADWAY ROAD, CHILDSWICKHAM, BROADWAY, WORCESTERSHIRE, WR127HD</x:v>
      </x:c>
      <x:c r="L528" s="60"/>
      <x:c r="M528" s="60"/>
      <x:c r="N528" s="60"/>
      <x:c r="O528" s="61"/>
      <x:c r="P528" s="64" t="str">
        <x:f>IF(OR(O528="",I528=""),"",IFERROR(DATEDIF(O528,I528,"m")/12,""))</x:f>
      </x:c>
      <x:c r="Q528" s="60"/>
      <x:c r="R528" s="61"/>
      <x:c r="S528" s="64" t="str">
        <x:f>IF(OR(R528="",X528=""),"",IFERROR(DATEDIF(R528,X528,"m")/12,""))</x:f>
      </x:c>
      <x:c r="T528" s="60"/>
      <x:c r="U528" s="60"/>
      <x:c r="V528" s="60"/>
      <x:c r="W528" s="63"/>
      <x:c r="X528" s="65" t="n">
        <x:f>TODAY()</x:f>
        <x:v>46250</x:v>
      </x:c>
    </x:row>
    <x:row r="529">
      <x:c r="A529" s="59" t="str">
        <x:v>NIKOLOV</x:v>
      </x:c>
      <x:c r="B529" s="60" t="str">
        <x:v>IVAN</x:v>
      </x:c>
      <x:c r="C529" s="60"/>
      <x:c r="D529" s="61" t="n">
        <x:v>33353.5</x:v>
      </x:c>
      <x:c r="E529" s="62" t="n">
        <x:f>IF(OR(D529="",X529=""),"",IFERROR(DATEDIF(D529,X529,"y"),""))</x:f>
        <x:v>35</x:v>
      </x:c>
      <x:c r="F529" s="60"/>
      <x:c r="G529" s="63"/>
      <x:c r="H529" s="63"/>
      <x:c r="I529" s="61"/>
      <x:c r="J529" s="64" t="str">
        <x:f>IF(OR(I529="",X529=""),"",IFERROR(DATEDIF(I529,X529,"m")/12,""))</x:f>
      </x:c>
      <x:c r="K529" s="60" t="str">
        <x:v>FLAT 10, 59 BONDWAY, LONDON SW8 1SJ</x:v>
      </x:c>
      <x:c r="L529" s="60"/>
      <x:c r="M529" s="60"/>
      <x:c r="N529" s="60"/>
      <x:c r="O529" s="61"/>
      <x:c r="P529" s="64" t="str">
        <x:f>IF(OR(O529="",I529=""),"",IFERROR(DATEDIF(O529,I529,"m")/12,""))</x:f>
      </x:c>
      <x:c r="Q529" s="60"/>
      <x:c r="R529" s="61"/>
      <x:c r="S529" s="64" t="str">
        <x:f>IF(OR(R529="",X529=""),"",IFERROR(DATEDIF(R529,X529,"m")/12,""))</x:f>
      </x:c>
      <x:c r="T529" s="60"/>
      <x:c r="U529" s="60"/>
      <x:c r="V529" s="60"/>
      <x:c r="W529" s="63"/>
      <x:c r="X529" s="65" t="n">
        <x:f>TODAY()</x:f>
        <x:v>46250</x:v>
      </x:c>
    </x:row>
    <x:row r="530">
      <x:c r="A530" s="59" t="str">
        <x:v>NORDMAN</x:v>
      </x:c>
      <x:c r="B530" s="60" t="str">
        <x:v>CARL</x:v>
      </x:c>
      <x:c r="C530" s="60" t="str">
        <x:v>HENRIK MIKAEL</x:v>
      </x:c>
      <x:c r="D530" s="61" t="n">
        <x:v>29632.5</x:v>
      </x:c>
      <x:c r="E530" s="62" t="n">
        <x:f>IF(OR(D530="",X530=""),"",IFERROR(DATEDIF(D530,X530,"y"),""))</x:f>
        <x:v>45</x:v>
      </x:c>
      <x:c r="F530" s="60"/>
      <x:c r="G530" s="63"/>
      <x:c r="H530" s="63"/>
      <x:c r="I530" s="61"/>
      <x:c r="J530" s="64" t="str">
        <x:f>IF(OR(I530="",X530=""),"",IFERROR(DATEDIF(I530,X530,"m")/12,""))</x:f>
      </x:c>
      <x:c r="K530" s="60"/>
      <x:c r="L530" s="60"/>
      <x:c r="M530" s="60"/>
      <x:c r="N530" s="60"/>
      <x:c r="O530" s="61"/>
      <x:c r="P530" s="64" t="str">
        <x:f>IF(OR(O530="",I530=""),"",IFERROR(DATEDIF(O530,I530,"m")/12,""))</x:f>
      </x:c>
      <x:c r="Q530" s="60"/>
      <x:c r="R530" s="61"/>
      <x:c r="S530" s="64" t="str">
        <x:f>IF(OR(R530="",X530=""),"",IFERROR(DATEDIF(R530,X530,"m")/12,""))</x:f>
      </x:c>
      <x:c r="T530" s="60"/>
      <x:c r="U530" s="60"/>
      <x:c r="V530" s="60"/>
      <x:c r="W530" s="63"/>
      <x:c r="X530" s="65" t="n">
        <x:f>TODAY()</x:f>
        <x:v>46250</x:v>
      </x:c>
    </x:row>
    <x:row r="531">
      <x:c r="A531" s="59" t="str">
        <x:v>NORTHCOTT</x:v>
      </x:c>
      <x:c r="B531" s="60" t="str">
        <x:v>LUKE</x:v>
      </x:c>
      <x:c r="C531" s="60" t="str">
        <x:v>THOMAS WILLIAM REGINALD</x:v>
      </x:c>
      <x:c r="D531" s="61" t="n">
        <x:v>32829.5</x:v>
      </x:c>
      <x:c r="E531" s="62" t="n">
        <x:f>IF(OR(D531="",X531=""),"",IFERROR(DATEDIF(D531,X531,"y"),""))</x:f>
        <x:v>36</x:v>
      </x:c>
      <x:c r="F531" s="60" t="str">
        <x:v>KING</x:v>
      </x:c>
      <x:c r="G531" s="63"/>
      <x:c r="H531" s="63"/>
      <x:c r="I531" s="61" t="n">
        <x:v>43313.5</x:v>
      </x:c>
      <x:c r="J531" s="64" t="n">
        <x:f>IF(OR(I531="",X531=""),"",IFERROR(DATEDIF(I531,X531,"m")/12,""))</x:f>
        <x:v>8</x:v>
      </x:c>
      <x:c r="K531" s="60" t="str">
        <x:v>FLAT 1, 276-278 FULHAM ROAD, LONDON, SW10 9EW</x:v>
      </x:c>
      <x:c r="L531" s="60" t="str">
        <x:v> SW10 9EW</x:v>
      </x:c>
      <x:c r="M531" s="60"/>
      <x:c r="N531" s="60" t="str">
        <x:v>SW10 9EW</x:v>
      </x:c>
      <x:c r="O531" s="61" t="n">
        <x:v>42095.5</x:v>
      </x:c>
      <x:c r="P531" s="64" t="n">
        <x:f>IF(OR(O531="",I531=""),"",IFERROR(DATEDIF(O531,I531,"m")/12,""))</x:f>
        <x:v>3.3333333333333335</x:v>
      </x:c>
      <x:c r="Q531" s="60" t="str">
        <x:v>ASTON HOUSE, CORNWALL AVENUE, LONDON, ENGLAND, N3 1LF</x:v>
      </x:c>
      <x:c r="R531" s="61" t="n">
        <x:v>41306.5</x:v>
      </x:c>
      <x:c r="S531" s="64" t="n">
        <x:f>IF(OR(R531="",X531=""),"",IFERROR(DATEDIF(R531,X531,"m")/12,""))</x:f>
        <x:v>13.5</x:v>
      </x:c>
      <x:c r="T531" s="60" t="str">
        <x:v>FINANCIAL ADVISOR</x:v>
      </x:c>
      <x:c r="U531" s="60" t="str">
        <x:v>CAPRICORN FINANCIAL CONSULTANCY</x:v>
      </x:c>
      <x:c r="V531" s="60" t="str">
        <x:v>1 QUEEN CAROLINE ST, LONDON W6 9YN</x:v>
      </x:c>
      <x:c r="W531" s="63"/>
      <x:c r="X531" s="65" t="n">
        <x:f>TODAY()</x:f>
        <x:v>46250</x:v>
      </x:c>
    </x:row>
    <x:row r="532">
      <x:c r="A532" s="59" t="str">
        <x:v>NYGREN</x:v>
      </x:c>
      <x:c r="B532" s="60" t="str">
        <x:v>SARA</x:v>
      </x:c>
      <x:c r="C532" s="60" t="str">
        <x:v>CHARLOTTA</x:v>
      </x:c>
      <x:c r="D532" s="61" t="n">
        <x:v>32940.5</x:v>
      </x:c>
      <x:c r="E532" s="62" t="n">
        <x:f>IF(OR(D532="",X532=""),"",IFERROR(DATEDIF(D532,X532,"y"),""))</x:f>
        <x:v>36</x:v>
      </x:c>
      <x:c r="F532" s="60"/>
      <x:c r="G532" s="63" t="str">
        <x:v>07900752311</x:v>
      </x:c>
      <x:c r="H532" s="63" t="str">
        <x:v>SS083515D</x:v>
      </x:c>
      <x:c r="I532" s="61" t="n">
        <x:v>45078.5</x:v>
      </x:c>
      <x:c r="J532" s="64" t="n">
        <x:f>IF(OR(I532="",X532=""),"",IFERROR(DATEDIF(I532,X532,"m")/12,""))</x:f>
        <x:v>3.1666666666666665</x:v>
      </x:c>
      <x:c r="K532" s="60" t="str">
        <x:v>FLAT 6, 43 PHILBEACH GARDENS, LONDON, SW5 9EB</x:v>
      </x:c>
      <x:c r="L532" s="60" t="str">
        <x:v> SW5 9EB</x:v>
      </x:c>
      <x:c r="M532" s="60"/>
      <x:c r="N532" s="60" t="str">
        <x:v>SW5 9EB</x:v>
      </x:c>
      <x:c r="O532" s="61" t="n">
        <x:v>42125.5</x:v>
      </x:c>
      <x:c r="P532" s="64" t="n">
        <x:f>IF(OR(O532="",I532=""),"",IFERROR(DATEDIF(O532,I532,"m")/12,""))</x:f>
        <x:v>8.083333333333334</x:v>
      </x:c>
      <x:c r="Q532" s="60" t="str">
        <x:v>FLAT 159, GOULDEN HOUSE, BULLEN STREET, LONDON, SW11 3HF</x:v>
      </x:c>
      <x:c r="R532" s="61" t="n">
        <x:v>45200.5</x:v>
      </x:c>
      <x:c r="S532" s="64" t="n">
        <x:f>IF(OR(R532="",X532=""),"",IFERROR(DATEDIF(R532,X532,"m")/12,""))</x:f>
        <x:v>2.8333333333333335</x:v>
      </x:c>
      <x:c r="T532" s="60" t="str">
        <x:v>CREDIT RISK MANAGERQ</x:v>
      </x:c>
      <x:c r="U532" s="60" t="str">
        <x:v>BACB PLC</x:v>
      </x:c>
      <x:c r="V532" s="60" t="str">
        <x:v>8-10 MANSION HOUSE PLACE, LONDON, EC4N 8BJ, GB</x:v>
      </x:c>
      <x:c r="W532" s="63"/>
      <x:c r="X532" s="65" t="n">
        <x:f>TODAY()</x:f>
        <x:v>46250</x:v>
      </x:c>
    </x:row>
    <x:row r="533">
      <x:c r="A533" s="59" t="str">
        <x:v>O</x:v>
      </x:c>
      <x:c r="B533" s="60"/>
      <x:c r="C533" s="60"/>
      <x:c r="D533" s="61"/>
      <x:c r="E533" s="62" t="str">
        <x:f>IF(OR(D533="",X533=""),"",IFERROR(DATEDIF(D533,X533,"y"),""))</x:f>
      </x:c>
      <x:c r="F533" s="60"/>
      <x:c r="G533" s="63"/>
      <x:c r="H533" s="63"/>
      <x:c r="I533" s="61"/>
      <x:c r="J533" s="64" t="str">
        <x:f>IF(OR(I533="",X533=""),"",IFERROR(DATEDIF(I533,X533,"m")/12,""))</x:f>
      </x:c>
      <x:c r="K533" s="60"/>
      <x:c r="L533" s="60"/>
      <x:c r="M533" s="60"/>
      <x:c r="N533" s="60"/>
      <x:c r="O533" s="61"/>
      <x:c r="P533" s="64" t="str">
        <x:f>IF(OR(O533="",I533=""),"",IFERROR(DATEDIF(O533,I533,"m")/12,""))</x:f>
      </x:c>
      <x:c r="Q533" s="60"/>
      <x:c r="R533" s="61"/>
      <x:c r="S533" s="64" t="str">
        <x:f>IF(OR(R533="",X533=""),"",IFERROR(DATEDIF(R533,X533,"m")/12,""))</x:f>
      </x:c>
      <x:c r="T533" s="60"/>
      <x:c r="U533" s="60"/>
      <x:c r="V533" s="60"/>
      <x:c r="W533" s="63"/>
      <x:c r="X533" s="65" t="n">
        <x:f>TODAY()</x:f>
        <x:v>46250</x:v>
      </x:c>
    </x:row>
    <x:row r="534">
      <x:c r="A534" s="59" t="str">
        <x:v>OBIAGO</x:v>
      </x:c>
      <x:c r="B534" s="60" t="str">
        <x:v>SOPHIA</x:v>
      </x:c>
      <x:c r="C534" s="60" t="str">
        <x:v>AMARA</x:v>
      </x:c>
      <x:c r="D534" s="61" t="n">
        <x:v>34991.5</x:v>
      </x:c>
      <x:c r="E534" s="62" t="n">
        <x:f>IF(OR(D534="",X534=""),"",IFERROR(DATEDIF(D534,X534,"y"),""))</x:f>
        <x:v>30</x:v>
      </x:c>
      <x:c r="F534" s="60"/>
      <x:c r="G534" s="63"/>
      <x:c r="H534" s="63"/>
      <x:c r="I534" s="61"/>
      <x:c r="J534" s="64" t="str">
        <x:f>IF(OR(I534="",X534=""),"",IFERROR(DATEDIF(I534,X534,"m")/12,""))</x:f>
      </x:c>
      <x:c r="K534" s="60" t="str">
        <x:v>FLAT 4, EMBANKMENT HOUSE BRONDESBURY PARK, LONDON, NW67YE</x:v>
      </x:c>
      <x:c r="L534" s="60" t="str">
        <x:v> NW67YE</x:v>
      </x:c>
      <x:c r="M534" s="60"/>
      <x:c r="N534" s="60" t="str">
        <x:v>NW67YE</x:v>
      </x:c>
      <x:c r="O534" s="61"/>
      <x:c r="P534" s="64" t="str">
        <x:f>IF(OR(O534="",I534=""),"",IFERROR(DATEDIF(O534,I534,"m")/12,""))</x:f>
      </x:c>
      <x:c r="Q534" s="60"/>
      <x:c r="R534" s="61"/>
      <x:c r="S534" s="64" t="str">
        <x:f>IF(OR(R534="",X534=""),"",IFERROR(DATEDIF(R534,X534,"m")/12,""))</x:f>
      </x:c>
      <x:c r="T534" s="60"/>
      <x:c r="U534" s="60"/>
      <x:c r="V534" s="60"/>
      <x:c r="W534" s="63"/>
      <x:c r="X534" s="65" t="n">
        <x:f>TODAY()</x:f>
        <x:v>46250</x:v>
      </x:c>
    </x:row>
    <x:row r="535">
      <x:c r="A535" s="59" t="str">
        <x:v>O'CONNOR</x:v>
      </x:c>
      <x:c r="B535" s="60" t="str">
        <x:v>KERIN</x:v>
      </x:c>
      <x:c r="C535" s="60" t="str">
        <x:v>JAMES</x:v>
      </x:c>
      <x:c r="D535" s="61" t="n">
        <x:v>25966.5</x:v>
      </x:c>
      <x:c r="E535" s="62" t="n">
        <x:f>IF(OR(D535="",X535=""),"",IFERROR(DATEDIF(D535,X535,"y"),""))</x:f>
        <x:v>55</x:v>
      </x:c>
      <x:c r="F535" s="60" t="str">
        <x:v>MITCHELL</x:v>
      </x:c>
      <x:c r="G535" s="63" t="str">
        <x:v>07495947929</x:v>
      </x:c>
      <x:c r="H535" s="63"/>
      <x:c r="I535" s="61" t="n">
        <x:v>39114.5</x:v>
      </x:c>
      <x:c r="J535" s="64" t="n">
        <x:f>IF(OR(I535="",X535=""),"",IFERROR(DATEDIF(I535,X535,"m")/12,""))</x:f>
        <x:v>19.5</x:v>
      </x:c>
      <x:c r="K535" s="60" t="str">
        <x:v>17F, CLEVELAND SQUARE, LONDON, W2 6DG</x:v>
      </x:c>
      <x:c r="L535" s="60" t="str">
        <x:v> W2 6DG</x:v>
      </x:c>
      <x:c r="M535" s="60"/>
      <x:c r="N535" s="60" t="str">
        <x:v>W2 6DG</x:v>
      </x:c>
      <x:c r="O535" s="61"/>
      <x:c r="P535" s="64" t="str">
        <x:f>IF(OR(O535="",I535=""),"",IFERROR(DATEDIF(O535,I535,"m")/12,""))</x:f>
      </x:c>
      <x:c r="Q535" s="60"/>
      <x:c r="R535" s="61" t="n">
        <x:v>44682.5</x:v>
      </x:c>
      <x:c r="S535" s="64" t="n">
        <x:f>IF(OR(R535="",X535=""),"",IFERROR(DATEDIF(R535,X535,"m")/12,""))</x:f>
        <x:v>4.25</x:v>
      </x:c>
      <x:c r="T535" s="60" t="str">
        <x:v>FOUNDER</x:v>
      </x:c>
      <x:c r="U535" s="60" t="str">
        <x:v>NIREK MEDIA LTD</x:v>
      </x:c>
      <x:c r="V535" s="60" t="str">
        <x:v>17F, CLEVELAND SQUARE, LONDON, W2 6DG</x:v>
      </x:c>
      <x:c r="W535" s="63"/>
      <x:c r="X535" s="65" t="n">
        <x:f>TODAY()</x:f>
        <x:v>46250</x:v>
      </x:c>
    </x:row>
    <x:row r="536">
      <x:c r="A536" s="59" t="str">
        <x:v>OLSEN</x:v>
      </x:c>
      <x:c r="B536" s="60" t="str">
        <x:v>SETH</x:v>
      </x:c>
      <x:c r="C536" s="60"/>
      <x:c r="D536" s="61" t="n">
        <x:v>33106.5</x:v>
      </x:c>
      <x:c r="E536" s="62" t="n">
        <x:f>IF(OR(D536="",X536=""),"",IFERROR(DATEDIF(D536,X536,"y"),""))</x:f>
        <x:v>35</x:v>
      </x:c>
      <x:c r="F536" s="60"/>
      <x:c r="G536" s="63"/>
      <x:c r="H536" s="63"/>
      <x:c r="I536" s="61"/>
      <x:c r="J536" s="64" t="str">
        <x:f>IF(OR(I536="",X536=""),"",IFERROR(DATEDIF(I536,X536,"m")/12,""))</x:f>
      </x:c>
      <x:c r="K536" s="60" t="str">
        <x:v>BASEMENT 2, 51 CLAPHAM COMMON SOUTH SIDE, LONDON, SW4 9BX</x:v>
      </x:c>
      <x:c r="L536" s="60" t="str">
        <x:v> SW4 9BX</x:v>
      </x:c>
      <x:c r="M536" s="60"/>
      <x:c r="N536" s="60" t="str">
        <x:v>SW4 9BX</x:v>
      </x:c>
      <x:c r="O536" s="61"/>
      <x:c r="P536" s="64" t="str">
        <x:f>IF(OR(O536="",I536=""),"",IFERROR(DATEDIF(O536,I536,"m")/12,""))</x:f>
      </x:c>
      <x:c r="Q536" s="60"/>
      <x:c r="R536" s="61" t="n">
        <x:v>44562.5</x:v>
      </x:c>
      <x:c r="S536" s="64" t="n">
        <x:f>IF(OR(R536="",X536=""),"",IFERROR(DATEDIF(R536,X536,"m")/12,""))</x:f>
        <x:v>4.583333333333333</x:v>
      </x:c>
      <x:c r="T536" s="60" t="str">
        <x:v>ENTERPRISE ACCOUNT EXECUTIVE</x:v>
      </x:c>
      <x:c r="U536" s="60" t="str">
        <x:v>SNOWFLAKE</x:v>
      </x:c>
      <x:c r="V536" s="60"/>
      <x:c r="W536" s="63"/>
      <x:c r="X536" s="65" t="n">
        <x:f>TODAY()</x:f>
        <x:v>46250</x:v>
      </x:c>
    </x:row>
    <x:row r="537">
      <x:c r="A537" s="59" t="str">
        <x:v>ORCANER</x:v>
      </x:c>
      <x:c r="B537" s="60" t="str">
        <x:v>CENAN</x:v>
      </x:c>
      <x:c r="C537" s="60"/>
      <x:c r="D537" s="61" t="n">
        <x:v>29252.5</x:v>
      </x:c>
      <x:c r="E537" s="62" t="n">
        <x:f>IF(OR(D537="",X537=""),"",IFERROR(DATEDIF(D537,X537,"y"),""))</x:f>
        <x:v>46</x:v>
      </x:c>
      <x:c r="F537" s="60"/>
      <x:c r="G537" s="63"/>
      <x:c r="H537" s="63"/>
      <x:c r="I537" s="61"/>
      <x:c r="J537" s="64" t="str">
        <x:f>IF(OR(I537="",X537=""),"",IFERROR(DATEDIF(I537,X537,"m")/12,""))</x:f>
      </x:c>
      <x:c r="K537" s="60"/>
      <x:c r="L537" s="60"/>
      <x:c r="M537" s="60"/>
      <x:c r="N537" s="60"/>
      <x:c r="O537" s="61"/>
      <x:c r="P537" s="64" t="str">
        <x:f>IF(OR(O537="",I537=""),"",IFERROR(DATEDIF(O537,I537,"m")/12,""))</x:f>
      </x:c>
      <x:c r="Q537" s="60"/>
      <x:c r="R537" s="61"/>
      <x:c r="S537" s="64" t="str">
        <x:f>IF(OR(R537="",X537=""),"",IFERROR(DATEDIF(R537,X537,"m")/12,""))</x:f>
      </x:c>
      <x:c r="T537" s="60"/>
      <x:c r="U537" s="60"/>
      <x:c r="V537" s="60"/>
      <x:c r="W537" s="63"/>
      <x:c r="X537" s="65" t="n">
        <x:f>TODAY()</x:f>
        <x:v>46250</x:v>
      </x:c>
    </x:row>
    <x:row r="538">
      <x:c r="A538" s="59" t="str">
        <x:v>ORCANER</x:v>
      </x:c>
      <x:c r="B538" s="60" t="str">
        <x:v>ORCAN</x:v>
      </x:c>
      <x:c r="C538" s="60"/>
      <x:c r="D538" s="61" t="n">
        <x:v>29753.5</x:v>
      </x:c>
      <x:c r="E538" s="62" t="n">
        <x:f>IF(OR(D538="",X538=""),"",IFERROR(DATEDIF(D538,X538,"y"),""))</x:f>
        <x:v>45</x:v>
      </x:c>
      <x:c r="F538" s="60"/>
      <x:c r="G538" s="63"/>
      <x:c r="H538" s="63" t="str">
        <x:v>SS586292A</x:v>
      </x:c>
      <x:c r="I538" s="61"/>
      <x:c r="J538" s="64" t="str">
        <x:f>IF(OR(I538="",X538=""),"",IFERROR(DATEDIF(I538,X538,"m")/12,""))</x:f>
      </x:c>
      <x:c r="K538" s="60"/>
      <x:c r="L538" s="60"/>
      <x:c r="M538" s="60"/>
      <x:c r="N538" s="60"/>
      <x:c r="O538" s="61"/>
      <x:c r="P538" s="64" t="str">
        <x:f>IF(OR(O538="",I538=""),"",IFERROR(DATEDIF(O538,I538,"m")/12,""))</x:f>
      </x:c>
      <x:c r="Q538" s="60"/>
      <x:c r="R538" s="61"/>
      <x:c r="S538" s="64" t="str">
        <x:f>IF(OR(R538="",X538=""),"",IFERROR(DATEDIF(R538,X538,"m")/12,""))</x:f>
      </x:c>
      <x:c r="T538" s="60"/>
      <x:c r="U538" s="60"/>
      <x:c r="V538" s="60"/>
      <x:c r="W538" s="63"/>
      <x:c r="X538" s="65" t="n">
        <x:f>TODAY()</x:f>
        <x:v>46250</x:v>
      </x:c>
    </x:row>
    <x:row r="539">
      <x:c r="A539" s="59" t="str">
        <x:v>ORGARD</x:v>
      </x:c>
      <x:c r="B539" s="60" t="str">
        <x:v>MAGNUS</x:v>
      </x:c>
      <x:c r="C539" s="60" t="str">
        <x:v>MARTIN</x:v>
      </x:c>
      <x:c r="D539" s="61" t="n">
        <x:v>23899.5</x:v>
      </x:c>
      <x:c r="E539" s="62" t="n">
        <x:f>IF(OR(D539="",X539=""),"",IFERROR(DATEDIF(D539,X539,"y"),""))</x:f>
        <x:v>61</x:v>
      </x:c>
      <x:c r="F539" s="60" t="str">
        <x:v>ORGARD</x:v>
      </x:c>
      <x:c r="G539" s="63"/>
      <x:c r="H539" s="63"/>
      <x:c r="I539" s="61" t="n">
        <x:v>41671.5</x:v>
      </x:c>
      <x:c r="J539" s="64" t="n">
        <x:f>IF(OR(I539="",X539=""),"",IFERROR(DATEDIF(I539,X539,"m")/12,""))</x:f>
        <x:v>12.5</x:v>
      </x:c>
      <x:c r="K539" s="60" t="str">
        <x:v>FLAT 8, 134 QUEEN'S GATE, LONDON, SW7 5LE</x:v>
      </x:c>
      <x:c r="L539" s="60" t="str">
        <x:v> SW7 5LE</x:v>
      </x:c>
      <x:c r="M539" s="60"/>
      <x:c r="N539" s="60" t="str">
        <x:v>SW7 5LE</x:v>
      </x:c>
      <x:c r="O539" s="61"/>
      <x:c r="P539" s="64" t="str">
        <x:f>IF(OR(O539="",I539=""),"",IFERROR(DATEDIF(O539,I539,"m")/12,""))</x:f>
      </x:c>
      <x:c r="Q539" s="60"/>
      <x:c r="R539" s="61"/>
      <x:c r="S539" s="64" t="str">
        <x:f>IF(OR(R539="",X539=""),"",IFERROR(DATEDIF(R539,X539,"m")/12,""))</x:f>
      </x:c>
      <x:c r="T539" s="60"/>
      <x:c r="U539" s="60"/>
      <x:c r="V539" s="60"/>
      <x:c r="W539" s="63" t="str">
        <x:v>020 7355 5750</x:v>
      </x:c>
      <x:c r="X539" s="65" t="n">
        <x:f>TODAY()</x:f>
        <x:v>46250</x:v>
      </x:c>
    </x:row>
    <x:row r="540">
      <x:c r="A540" s="59" t="str">
        <x:v>O'RIAN</x:v>
      </x:c>
      <x:c r="B540" s="60" t="str">
        <x:v>CHRISTOPHER</x:v>
      </x:c>
      <x:c r="C540" s="60" t="str">
        <x:v>MARTIN</x:v>
      </x:c>
      <x:c r="D540" s="61" t="n">
        <x:v>35157.5</x:v>
      </x:c>
      <x:c r="E540" s="62" t="n">
        <x:f>IF(OR(D540="",X540=""),"",IFERROR(DATEDIF(D540,X540,"y"),""))</x:f>
        <x:v>30</x:v>
      </x:c>
      <x:c r="F540" s="60" t="str">
        <x:v>GLYNN</x:v>
      </x:c>
      <x:c r="G540" s="63"/>
      <x:c r="H540" s="63"/>
      <x:c r="I540" s="61" t="n">
        <x:v>42217.5</x:v>
      </x:c>
      <x:c r="J540" s="64" t="n">
        <x:f>IF(OR(I540="",X540=""),"",IFERROR(DATEDIF(I540,X540,"m")/12,""))</x:f>
        <x:v>11</x:v>
      </x:c>
      <x:c r="K540" s="60" t="str">
        <x:v>7 CAVENDISH ROAD LONDON, NW6 7XU</x:v>
      </x:c>
      <x:c r="L540" s="60" t="str">
        <x:v> NW6 7XU</x:v>
      </x:c>
      <x:c r="M540" s="60"/>
      <x:c r="N540" s="60" t="str">
        <x:v>NW6 7XU</x:v>
      </x:c>
      <x:c r="O540" s="61"/>
      <x:c r="P540" s="64" t="str">
        <x:f>IF(OR(O540="",I540=""),"",IFERROR(DATEDIF(O540,I540,"m")/12,""))</x:f>
      </x:c>
      <x:c r="Q540" s="60"/>
      <x:c r="R540" s="61" t="n">
        <x:v>44470.5</x:v>
      </x:c>
      <x:c r="S540" s="64" t="n">
        <x:f>IF(OR(R540="",X540=""),"",IFERROR(DATEDIF(R540,X540,"m")/12,""))</x:f>
        <x:v>4.833333333333333</x:v>
      </x:c>
      <x:c r="T540" s="60" t="str">
        <x:v>SITE MANAGER</x:v>
      </x:c>
      <x:c r="U540" s="60" t="str">
        <x:v>J BROWNE CONSTRUCTION CO. LTD</x:v>
      </x:c>
      <x:c r="V540" s="60" t="str">
        <x:v>UNIT 1-2, PAVILION BUSINESS CENTRE, 6 KINETIC CRESCENT, ENFIELD EN3 7FJ</x:v>
      </x:c>
      <x:c r="W540" s="63" t="str">
        <x:v>020 3300 0033</x:v>
      </x:c>
      <x:c r="X540" s="65" t="n">
        <x:f>TODAY()</x:f>
        <x:v>46250</x:v>
      </x:c>
    </x:row>
    <x:row r="541">
      <x:c r="A541" s="59" t="str">
        <x:v>O'RIAN</x:v>
      </x:c>
      <x:c r="B541" s="60" t="str">
        <x:v>PADRAIG</x:v>
      </x:c>
      <x:c r="C541" s="60" t="str">
        <x:v>ANTHONY</x:v>
      </x:c>
      <x:c r="D541" s="61"/>
      <x:c r="E541" s="62" t="str">
        <x:f>IF(OR(D541="",X541=""),"",IFERROR(DATEDIF(D541,X541,"y"),""))</x:f>
      </x:c>
      <x:c r="F541" s="60"/>
      <x:c r="G541" s="63"/>
      <x:c r="H541" s="63"/>
      <x:c r="I541" s="61"/>
      <x:c r="J541" s="64" t="str">
        <x:f>IF(OR(I541="",X541=""),"",IFERROR(DATEDIF(I541,X541,"m")/12,""))</x:f>
      </x:c>
      <x:c r="K541" s="60"/>
      <x:c r="L541" s="60"/>
      <x:c r="M541" s="60"/>
      <x:c r="N541" s="60"/>
      <x:c r="O541" s="61"/>
      <x:c r="P541" s="64" t="str">
        <x:f>IF(OR(O541="",I541=""),"",IFERROR(DATEDIF(O541,I541,"m")/12,""))</x:f>
      </x:c>
      <x:c r="Q541" s="60"/>
      <x:c r="R541" s="61" t="n">
        <x:v>44866.5</x:v>
      </x:c>
      <x:c r="S541" s="64" t="n">
        <x:f>IF(OR(R541="",X541=""),"",IFERROR(DATEDIF(R541,X541,"m")/12,""))</x:f>
        <x:v>3.75</x:v>
      </x:c>
      <x:c r="T541" s="60" t="str">
        <x:v>ENGINEER</x:v>
      </x:c>
      <x:c r="U541" s="60" t="str">
        <x:v>VOLTA TRUCKS</x:v>
      </x:c>
      <x:c r="V541" s="60" t="str">
        <x:v>UNIT 2, WHITE HART WORKS, 550 WHITE HART LN, LONDON N17 7BF</x:v>
      </x:c>
      <x:c r="W541" s="63" t="str">
        <x:v>07958669585</x:v>
      </x:c>
      <x:c r="X541" s="65" t="n">
        <x:f>TODAY()</x:f>
        <x:v>46250</x:v>
      </x:c>
    </x:row>
    <x:row r="542">
      <x:c r="A542" s="59" t="str">
        <x:v>ORR</x:v>
      </x:c>
      <x:c r="B542" s="60" t="str">
        <x:v>JAMES</x:v>
      </x:c>
      <x:c r="C542" s="60" t="str">
        <x:v>ANDREW COURTENAY</x:v>
      </x:c>
      <x:c r="D542" s="61" t="n">
        <x:v>25561.5</x:v>
      </x:c>
      <x:c r="E542" s="62" t="n">
        <x:f>IF(OR(D542="",X542=""),"",IFERROR(DATEDIF(D542,X542,"y"),""))</x:f>
        <x:v>56</x:v>
      </x:c>
      <x:c r="F542" s="60" t="str">
        <x:v>EYRE</x:v>
      </x:c>
      <x:c r="G542" s="63"/>
      <x:c r="H542" s="63"/>
      <x:c r="I542" s="61" t="n">
        <x:v>37377.5</x:v>
      </x:c>
      <x:c r="J542" s="64" t="n">
        <x:f>IF(OR(I542="",X542=""),"",IFERROR(DATEDIF(I542,X542,"m")/12,""))</x:f>
        <x:v>24.25</x:v>
      </x:c>
      <x:c r="K542" s="60" t="str">
        <x:v>FLAT 2, 404-406 NORTH END ROAD, LONDON, SW6 1LU</x:v>
      </x:c>
      <x:c r="L542" s="60" t="str">
        <x:v> SW6 1LU</x:v>
      </x:c>
      <x:c r="M542" s="60"/>
      <x:c r="N542" s="60" t="str">
        <x:v>SW6 1LU</x:v>
      </x:c>
      <x:c r="O542" s="61"/>
      <x:c r="P542" s="64" t="str">
        <x:f>IF(OR(O542="",I542=""),"",IFERROR(DATEDIF(O542,I542,"m")/12,""))</x:f>
      </x:c>
      <x:c r="Q542" s="60"/>
      <x:c r="R542" s="61"/>
      <x:c r="S542" s="64" t="str">
        <x:f>IF(OR(R542="",X542=""),"",IFERROR(DATEDIF(R542,X542,"m")/12,""))</x:f>
      </x:c>
      <x:c r="T542" s="60"/>
      <x:c r="U542" s="60"/>
      <x:c r="V542" s="60"/>
      <x:c r="W542" s="63"/>
      <x:c r="X542" s="65" t="n">
        <x:f>TODAY()</x:f>
        <x:v>46250</x:v>
      </x:c>
    </x:row>
    <x:row r="543">
      <x:c r="A543" s="59" t="str">
        <x:v>ORTIZ</x:v>
      </x:c>
      <x:c r="B543" s="60" t="str">
        <x:v>CARLOS</x:v>
      </x:c>
      <x:c r="C543" s="60" t="str">
        <x:v>MARIA</x:v>
      </x:c>
      <x:c r="D543" s="61" t="n">
        <x:v>32209.5</x:v>
      </x:c>
      <x:c r="E543" s="62" t="n">
        <x:f>IF(OR(D543="",X543=""),"",IFERROR(DATEDIF(D543,X543,"y"),""))</x:f>
        <x:v>38</x:v>
      </x:c>
      <x:c r="F543" s="60" t="str">
        <x:v>MUNOZ</x:v>
      </x:c>
      <x:c r="G543" s="63"/>
      <x:c r="H543" s="63"/>
      <x:c r="I543" s="61" t="n">
        <x:v>44013.5</x:v>
      </x:c>
      <x:c r="J543" s="64" t="n">
        <x:f>IF(OR(I543="",X543=""),"",IFERROR(DATEDIF(I543,X543,"m")/12,""))</x:f>
        <x:v>6.083333333333333</x:v>
      </x:c>
      <x:c r="K543" s="60" t="str">
        <x:v>FLAT 1, 276-278 FULHAM ROAD, LONDON, UNITED KINGDOM, SW10 9EW</x:v>
      </x:c>
      <x:c r="L543" s="60" t="str">
        <x:v> UNITED KINGDOM, SW10 9EW</x:v>
      </x:c>
      <x:c r="M543" s="60"/>
      <x:c r="N543" s="60" t="str">
        <x:v> SW10 9EW</x:v>
      </x:c>
      <x:c r="O543" s="61"/>
      <x:c r="P543" s="64" t="str">
        <x:f>IF(OR(O543="",I543=""),"",IFERROR(DATEDIF(O543,I543,"m")/12,""))</x:f>
      </x:c>
      <x:c r="Q543" s="60"/>
      <x:c r="R543" s="61" t="n">
        <x:v>42278.5</x:v>
      </x:c>
      <x:c r="S543" s="64" t="n">
        <x:f>IF(OR(R543="",X543=""),"",IFERROR(DATEDIF(R543,X543,"m")/12,""))</x:f>
        <x:v>10.833333333333334</x:v>
      </x:c>
      <x:c r="T543" s="60" t="str">
        <x:v>RESEARCH ANALYST</x:v>
      </x:c>
      <x:c r="U543" s="60" t="str">
        <x:v>FRANKLIN TEMPLETON INVESTMENTS</x:v>
      </x:c>
      <x:c r="V543" s="60" t="str">
        <x:v>CANNON PLACE, 78 CANNON STREET, LONDON, EC4N 6AF</x:v>
      </x:c>
      <x:c r="W543" s="63" t="str">
        <x:v>2070738500</x:v>
      </x:c>
      <x:c r="X543" s="65" t="n">
        <x:f>TODAY()</x:f>
        <x:v>46250</x:v>
      </x:c>
    </x:row>
    <x:row r="544">
      <x:c r="A544" s="59" t="str">
        <x:v>OSSI</x:v>
      </x:c>
      <x:c r="B544" s="60" t="str">
        <x:v>GABRIEL</x:v>
      </x:c>
      <x:c r="C544" s="60"/>
      <x:c r="D544" s="61" t="n">
        <x:v>28915.5</x:v>
      </x:c>
      <x:c r="E544" s="62" t="n">
        <x:f>IF(OR(D544="",X544=""),"",IFERROR(DATEDIF(D544,X544,"y"),""))</x:f>
        <x:v>47</x:v>
      </x:c>
      <x:c r="F544" s="60"/>
      <x:c r="G544" s="63"/>
      <x:c r="H544" s="63"/>
      <x:c r="I544" s="61" t="n">
        <x:v>43466.5</x:v>
      </x:c>
      <x:c r="J544" s="64" t="n">
        <x:f>IF(OR(I544="",X544=""),"",IFERROR(DATEDIF(I544,X544,"m")/12,""))</x:f>
        <x:v>7.583333333333333</x:v>
      </x:c>
      <x:c r="K544" s="60" t="str">
        <x:v>FLAT 4, 1 WESTBOURNE CRESCENT, LONDON, W2 3DB</x:v>
      </x:c>
      <x:c r="L544" s="60" t="str">
        <x:v> W2 3DB</x:v>
      </x:c>
      <x:c r="M544" s="60"/>
      <x:c r="N544" s="60" t="str">
        <x:v>W2 3DB</x:v>
      </x:c>
      <x:c r="O544" s="61"/>
      <x:c r="P544" s="64" t="str">
        <x:f>IF(OR(O544="",I544=""),"",IFERROR(DATEDIF(O544,I544,"m")/12,""))</x:f>
      </x:c>
      <x:c r="Q544" s="60"/>
      <x:c r="R544" s="61"/>
      <x:c r="S544" s="64" t="str">
        <x:f>IF(OR(R544="",X544=""),"",IFERROR(DATEDIF(R544,X544,"m")/12,""))</x:f>
      </x:c>
      <x:c r="T544" s="60"/>
      <x:c r="U544" s="60"/>
      <x:c r="V544" s="60"/>
      <x:c r="W544" s="63"/>
      <x:c r="X544" s="65" t="n">
        <x:f>TODAY()</x:f>
        <x:v>46250</x:v>
      </x:c>
    </x:row>
    <x:row r="545">
      <x:c r="A545" s="59" t="str">
        <x:v>OTUNIYI</x:v>
      </x:c>
      <x:c r="B545" s="60" t="str">
        <x:v>OLAYINKA</x:v>
      </x:c>
      <x:c r="C545" s="60"/>
      <x:c r="D545" s="61" t="n">
        <x:v>34416.5</x:v>
      </x:c>
      <x:c r="E545" s="62" t="n">
        <x:f>IF(OR(D545="",X545=""),"",IFERROR(DATEDIF(D545,X545,"y"),""))</x:f>
        <x:v>32</x:v>
      </x:c>
      <x:c r="F545" s="60"/>
      <x:c r="G545" s="63"/>
      <x:c r="H545" s="63"/>
      <x:c r="I545" s="61" t="n">
        <x:v>44228.5</x:v>
      </x:c>
      <x:c r="J545" s="64" t="n">
        <x:f>IF(OR(I545="",X545=""),"",IFERROR(DATEDIF(I545,X545,"m")/12,""))</x:f>
        <x:v>5.5</x:v>
      </x:c>
      <x:c r="K545" s="60" t="str">
        <x:v>FLAT 6, 47 CLANRICARDE GARDENS, LONDON, W2 4JN</x:v>
      </x:c>
      <x:c r="L545" s="60" t="str">
        <x:v> W2 4JN</x:v>
      </x:c>
      <x:c r="M545" s="60"/>
      <x:c r="N545" s="60" t="str">
        <x:v>W2 4JN</x:v>
      </x:c>
      <x:c r="O545" s="61"/>
      <x:c r="P545" s="64" t="str">
        <x:f>IF(OR(O545="",I545=""),"",IFERROR(DATEDIF(O545,I545,"m")/12,""))</x:f>
      </x:c>
      <x:c r="Q545" s="60"/>
      <x:c r="R545" s="61" t="n">
        <x:v>43831.5</x:v>
      </x:c>
      <x:c r="S545" s="64" t="n">
        <x:f>IF(OR(R545="",X545=""),"",IFERROR(DATEDIF(R545,X545,"m")/12,""))</x:f>
        <x:v>6.583333333333333</x:v>
      </x:c>
      <x:c r="T545" s="60" t="str">
        <x:v>SOFTWARE ENGINEER</x:v>
      </x:c>
      <x:c r="U545" s="60" t="str">
        <x:v>ELSEVIER</x:v>
      </x:c>
      <x:c r="V545" s="60" t="str">
        <x:v>125 LONDON WALL, LONDON, EC2Y 5AJ</x:v>
      </x:c>
      <x:c r="W545" s="63" t="str">
        <x:v>020 7424 4200</x:v>
      </x:c>
      <x:c r="X545" s="65" t="n">
        <x:f>TODAY()</x:f>
        <x:v>46250</x:v>
      </x:c>
    </x:row>
    <x:row r="546">
      <x:c r="A546" s="59" t="str">
        <x:v>OYEDIRAN</x:v>
      </x:c>
      <x:c r="B546" s="60" t="str">
        <x:v>PETER</x:v>
      </x:c>
      <x:c r="C546" s="60" t="str">
        <x:v>ANTHONY</x:v>
      </x:c>
      <x:c r="D546" s="61" t="n">
        <x:v>30365.5</x:v>
      </x:c>
      <x:c r="E546" s="62" t="n">
        <x:f>IF(OR(D546="",X546=""),"",IFERROR(DATEDIF(D546,X546,"y"),""))</x:f>
        <x:v>43</x:v>
      </x:c>
      <x:c r="F546" s="60" t="str">
        <x:v>MORRIS</x:v>
      </x:c>
      <x:c r="G546" s="63"/>
      <x:c r="H546" s="63"/>
      <x:c r="I546" s="61" t="n">
        <x:v>42005.5</x:v>
      </x:c>
      <x:c r="J546" s="64" t="n">
        <x:f>IF(OR(I546="",X546=""),"",IFERROR(DATEDIF(I546,X546,"m")/12,""))</x:f>
        <x:v>11.583333333333334</x:v>
      </x:c>
      <x:c r="K546" s="60" t="str">
        <x:v>FLAT 3, 61-63 GLOUCESTER TERRACE, LONDON, W2 3DH</x:v>
      </x:c>
      <x:c r="L546" s="60" t="str">
        <x:v> W2 3DH</x:v>
      </x:c>
      <x:c r="M546" s="60"/>
      <x:c r="N546" s="60" t="str">
        <x:v>W2 3DH</x:v>
      </x:c>
      <x:c r="O546" s="61" t="n">
        <x:v>39539.5</x:v>
      </x:c>
      <x:c r="P546" s="64" t="n">
        <x:f>IF(OR(O546="",I546=""),"",IFERROR(DATEDIF(O546,I546,"m")/12,""))</x:f>
        <x:v>6.75</x:v>
      </x:c>
      <x:c r="Q546" s="60" t="str">
        <x:v>43A HUBERT GROVE, LONDON, SW9 9PA</x:v>
      </x:c>
      <x:c r="R546" s="61"/>
      <x:c r="S546" s="64" t="str">
        <x:f>IF(OR(R546="",X546=""),"",IFERROR(DATEDIF(R546,X546,"m")/12,""))</x:f>
      </x:c>
      <x:c r="T546" s="60" t="str">
        <x:v>COLUMBIA SPORTSWEAR LTD.</x:v>
      </x:c>
      <x:c r="U546" s="60" t="str">
        <x:v>MANAGER</x:v>
      </x:c>
      <x:c r="V546" s="60"/>
      <x:c r="W546" s="63"/>
      <x:c r="X546" s="65" t="n">
        <x:f>TODAY()</x:f>
        <x:v>46250</x:v>
      </x:c>
    </x:row>
    <x:row r="547">
      <x:c r="A547" s="59" t="str">
        <x:v>OYEDIRAN / MAUDHUB</x:v>
      </x:c>
      <x:c r="B547" s="60" t="str">
        <x:v>SHERALEE</x:v>
      </x:c>
      <x:c r="C547" s="60"/>
      <x:c r="D547" s="61" t="n">
        <x:v>30620.5</x:v>
      </x:c>
      <x:c r="E547" s="62" t="n">
        <x:f>IF(OR(D547="",X547=""),"",IFERROR(DATEDIF(D547,X547,"y"),""))</x:f>
        <x:v>42</x:v>
      </x:c>
      <x:c r="F547" s="60"/>
      <x:c r="G547" s="63"/>
      <x:c r="H547" s="63"/>
      <x:c r="I547" s="61" t="n">
        <x:v>42005.5</x:v>
      </x:c>
      <x:c r="J547" s="64" t="n">
        <x:f>IF(OR(I547="",X547=""),"",IFERROR(DATEDIF(I547,X547,"m")/12,""))</x:f>
        <x:v>11.583333333333334</x:v>
      </x:c>
      <x:c r="K547" s="60" t="str">
        <x:v>FLAT 3, 61-63 GLOUCESTER TERRACE, LONDON, W2 3DH</x:v>
      </x:c>
      <x:c r="L547" s="60" t="str">
        <x:v> W2 3DH</x:v>
      </x:c>
      <x:c r="M547" s="60"/>
      <x:c r="N547" s="60" t="str">
        <x:v>W2 3DH</x:v>
      </x:c>
      <x:c r="O547" s="61" t="n">
        <x:v>39539.5</x:v>
      </x:c>
      <x:c r="P547" s="64" t="n">
        <x:f>IF(OR(O547="",I547=""),"",IFERROR(DATEDIF(O547,I547,"m")/12,""))</x:f>
        <x:v>6.75</x:v>
      </x:c>
      <x:c r="Q547" s="60" t="str">
        <x:v>43A HUBERT GROVE, LONDON, SW9 9PA</x:v>
      </x:c>
      <x:c r="R547" s="61"/>
      <x:c r="S547" s="64" t="str">
        <x:f>IF(OR(R547="",X547=""),"",IFERROR(DATEDIF(R547,X547,"m")/12,""))</x:f>
      </x:c>
      <x:c r="T547" s="60" t="str">
        <x:v>GPS (GREAT BRITAIN) LTD.</x:v>
      </x:c>
      <x:c r="U547" s="60"/>
      <x:c r="V547" s="60"/>
      <x:c r="W547" s="63"/>
      <x:c r="X547" s="65" t="n">
        <x:f>TODAY()</x:f>
        <x:v>46250</x:v>
      </x:c>
    </x:row>
    <x:row r="548">
      <x:c r="A548" s="59" t="str">
        <x:v>OYGUR</x:v>
      </x:c>
      <x:c r="B548" s="60" t="str">
        <x:v>ADEM</x:v>
      </x:c>
      <x:c r="C548" s="60"/>
      <x:c r="D548" s="61" t="n">
        <x:v>31321.5</x:v>
      </x:c>
      <x:c r="E548" s="62" t="n">
        <x:f>IF(OR(D548="",X548=""),"",IFERROR(DATEDIF(D548,X548,"y"),""))</x:f>
        <x:v>40</x:v>
      </x:c>
      <x:c r="F548" s="60" t="str">
        <x:v>SUR</x:v>
      </x:c>
      <x:c r="G548" s="63" t="str">
        <x:v>07564783871</x:v>
      </x:c>
      <x:c r="H548" s="63"/>
      <x:c r="I548" s="61" t="n">
        <x:v>42856.5</x:v>
      </x:c>
      <x:c r="J548" s="64" t="n">
        <x:f>IF(OR(I548="",X548=""),"",IFERROR(DATEDIF(I548,X548,"m")/12,""))</x:f>
        <x:v>9.25</x:v>
      </x:c>
      <x:c r="K548" s="60" t="str">
        <x:v>Q</x:v>
      </x:c>
      <x:c r="L548" s="60"/>
      <x:c r="M548" s="60"/>
      <x:c r="N548" s="60"/>
      <x:c r="O548" s="61"/>
      <x:c r="P548" s="64" t="str">
        <x:f>IF(OR(O548="",I548=""),"",IFERROR(DATEDIF(O548,I548,"m")/12,""))</x:f>
      </x:c>
      <x:c r="Q548" s="60"/>
      <x:c r="R548" s="61" t="n">
        <x:v>40695.5</x:v>
      </x:c>
      <x:c r="S548" s="64" t="n">
        <x:f>IF(OR(R548="",X548=""),"",IFERROR(DATEDIF(R548,X548,"m")/12,""))</x:f>
        <x:v>15.166666666666666</x:v>
      </x:c>
      <x:c r="T548" s="60" t="str">
        <x:v>COMPANY DIRECTOR</x:v>
      </x:c>
      <x:c r="U548" s="60" t="str">
        <x:v>ADEM LONDON</x:v>
      </x:c>
      <x:c r="V548" s="60" t="str">
        <x:v>61 EBURY STREET, LONDON, SW1W 0NZ</x:v>
      </x:c>
      <x:c r="W548" s="63" t="str">
        <x:v>020 7235 2228</x:v>
      </x:c>
      <x:c r="X548" s="65" t="n">
        <x:f>TODAY()</x:f>
        <x:v>46250</x:v>
      </x:c>
    </x:row>
    <x:row r="549">
      <x:c r="A549" s="59" t="str">
        <x:v>OZEN</x:v>
      </x:c>
      <x:c r="B549" s="60" t="str">
        <x:v>SAFAK</x:v>
      </x:c>
      <x:c r="C549" s="60"/>
      <x:c r="D549" s="61" t="n">
        <x:v>26348.5</x:v>
      </x:c>
      <x:c r="E549" s="62" t="n">
        <x:f>IF(OR(D549="",X549=""),"",IFERROR(DATEDIF(D549,X549,"y"),""))</x:f>
        <x:v>54</x:v>
      </x:c>
      <x:c r="F549" s="60"/>
      <x:c r="G549" s="63" t="str">
        <x:v>07435698476</x:v>
      </x:c>
      <x:c r="H549" s="63"/>
      <x:c r="I549" s="61"/>
      <x:c r="J549" s="64" t="str">
        <x:f>IF(OR(I549="",X549=""),"",IFERROR(DATEDIF(I549,X549,"m")/12,""))</x:f>
      </x:c>
      <x:c r="K549" s="60" t="str">
        <x:v>FLAT 6 , EMBANKMENT HOUSE, BRONDESBURY PARK, NW6 7YE</x:v>
      </x:c>
      <x:c r="L549" s="60"/>
      <x:c r="M549" s="60"/>
      <x:c r="N549" s="60"/>
      <x:c r="O549" s="61"/>
      <x:c r="P549" s="64" t="str">
        <x:f>IF(OR(O549="",I549=""),"",IFERROR(DATEDIF(O549,I549,"m")/12,""))</x:f>
      </x:c>
      <x:c r="Q549" s="60"/>
      <x:c r="R549" s="61"/>
      <x:c r="S549" s="64" t="str">
        <x:f>IF(OR(R549="",X549=""),"",IFERROR(DATEDIF(R549,X549,"m")/12,""))</x:f>
      </x:c>
      <x:c r="T549" s="60"/>
      <x:c r="U549" s="60"/>
      <x:c r="V549" s="60"/>
      <x:c r="W549" s="63"/>
      <x:c r="X549" s="65" t="n">
        <x:f>TODAY()</x:f>
        <x:v>46250</x:v>
      </x:c>
    </x:row>
    <x:row r="550">
      <x:c r="A550" s="59" t="str">
        <x:v>OZEN</x:v>
      </x:c>
      <x:c r="B550" s="60" t="str">
        <x:v>SELIN</x:v>
      </x:c>
      <x:c r="C550" s="60"/>
      <x:c r="D550" s="61" t="n">
        <x:v>28335.5</x:v>
      </x:c>
      <x:c r="E550" s="62" t="n">
        <x:f>IF(OR(D550="",X550=""),"",IFERROR(DATEDIF(D550,X550,"y"),""))</x:f>
        <x:v>49</x:v>
      </x:c>
      <x:c r="F550" s="60"/>
      <x:c r="G550" s="63"/>
      <x:c r="H550" s="63"/>
      <x:c r="I550" s="61"/>
      <x:c r="J550" s="64" t="str">
        <x:f>IF(OR(I550="",X550=""),"",IFERROR(DATEDIF(I550,X550,"m")/12,""))</x:f>
      </x:c>
      <x:c r="K550" s="60" t="str">
        <x:v>FLAT 6 , EMBANKMENT HOUSE, BRONDESBURY PARK, NW6 7YE</x:v>
      </x:c>
      <x:c r="L550" s="60"/>
      <x:c r="M550" s="60"/>
      <x:c r="N550" s="60"/>
      <x:c r="O550" s="61"/>
      <x:c r="P550" s="64" t="str">
        <x:f>IF(OR(O550="",I550=""),"",IFERROR(DATEDIF(O550,I550,"m")/12,""))</x:f>
      </x:c>
      <x:c r="Q550" s="60"/>
      <x:c r="R550" s="61"/>
      <x:c r="S550" s="64" t="str">
        <x:f>IF(OR(R550="",X550=""),"",IFERROR(DATEDIF(R550,X550,"m")/12,""))</x:f>
      </x:c>
      <x:c r="T550" s="60"/>
      <x:c r="U550" s="60"/>
      <x:c r="V550" s="60"/>
      <x:c r="W550" s="63"/>
      <x:c r="X550" s="65" t="n">
        <x:f>TODAY()</x:f>
        <x:v>46250</x:v>
      </x:c>
    </x:row>
    <x:row r="551">
      <x:c r="A551" s="59" t="str">
        <x:v>P</x:v>
      </x:c>
      <x:c r="B551" s="60"/>
      <x:c r="C551" s="60"/>
      <x:c r="D551" s="61"/>
      <x:c r="E551" s="62" t="str">
        <x:f>IF(OR(D551="",X551=""),"",IFERROR(DATEDIF(D551,X551,"y"),""))</x:f>
      </x:c>
      <x:c r="F551" s="60"/>
      <x:c r="G551" s="63"/>
      <x:c r="H551" s="63"/>
      <x:c r="I551" s="61"/>
      <x:c r="J551" s="64" t="str">
        <x:f>IF(OR(I551="",X551=""),"",IFERROR(DATEDIF(I551,X551,"m")/12,""))</x:f>
      </x:c>
      <x:c r="K551" s="60"/>
      <x:c r="L551" s="60"/>
      <x:c r="M551" s="60"/>
      <x:c r="N551" s="60"/>
      <x:c r="O551" s="61"/>
      <x:c r="P551" s="64" t="str">
        <x:f>IF(OR(O551="",I551=""),"",IFERROR(DATEDIF(O551,I551,"m")/12,""))</x:f>
      </x:c>
      <x:c r="Q551" s="60"/>
      <x:c r="R551" s="61"/>
      <x:c r="S551" s="64" t="str">
        <x:f>IF(OR(R551="",X551=""),"",IFERROR(DATEDIF(R551,X551,"m")/12,""))</x:f>
      </x:c>
      <x:c r="T551" s="60"/>
      <x:c r="U551" s="60"/>
      <x:c r="V551" s="60"/>
      <x:c r="W551" s="63"/>
      <x:c r="X551" s="65" t="n">
        <x:f>TODAY()</x:f>
        <x:v>46250</x:v>
      </x:c>
    </x:row>
    <x:row r="552">
      <x:c r="A552" s="59" t="str">
        <x:v>PADILLA</x:v>
      </x:c>
      <x:c r="B552" s="60" t="str">
        <x:v>JONATHAN</x:v>
      </x:c>
      <x:c r="C552" s="60" t="str">
        <x:v>CHRISTOPHER</x:v>
      </x:c>
      <x:c r="D552" s="61" t="n">
        <x:v>25960.5</x:v>
      </x:c>
      <x:c r="E552" s="62" t="n">
        <x:f>IF(OR(D552="",X552=""),"",IFERROR(DATEDIF(D552,X552,"y"),""))</x:f>
        <x:v>55</x:v>
      </x:c>
      <x:c r="F552" s="60" t="str">
        <x:v>JOHNSON</x:v>
      </x:c>
      <x:c r="G552" s="63" t="str">
        <x:v>07943942364</x:v>
      </x:c>
      <x:c r="H552" s="63"/>
      <x:c r="I552" s="61" t="n">
        <x:v>38504.5</x:v>
      </x:c>
      <x:c r="J552" s="64" t="n">
        <x:f>IF(OR(I552="",X552=""),"",IFERROR(DATEDIF(I552,X552,"m")/12,""))</x:f>
        <x:v>21.166666666666668</x:v>
      </x:c>
      <x:c r="K552" s="60" t="str">
        <x:v>FLAT F BASEMENT NORTH, 1 QUEENS GATE PLACE, LONDON, SW7 5NS</x:v>
      </x:c>
      <x:c r="L552" s="60" t="str">
        <x:v> SW7 5NS</x:v>
      </x:c>
      <x:c r="M552" s="60"/>
      <x:c r="N552" s="60" t="str">
        <x:v>SW7 5NS</x:v>
      </x:c>
      <x:c r="O552" s="61" t="n">
        <x:v>36192.5</x:v>
      </x:c>
      <x:c r="P552" s="64" t="n">
        <x:f>IF(OR(O552="",I552=""),"",IFERROR(DATEDIF(O552,I552,"m")/12,""))</x:f>
        <x:v>6.333333333333333</x:v>
      </x:c>
      <x:c r="Q552" s="60" t="str">
        <x:v>64 HIGH STREET, HARLTON, CAMBRIDGE, CB23 1ES</x:v>
      </x:c>
      <x:c r="R552" s="61" t="n">
        <x:v>36192.5</x:v>
      </x:c>
      <x:c r="S552" s="64" t="n">
        <x:f>IF(OR(R552="",X552=""),"",IFERROR(DATEDIF(R552,X552,"m")/12,""))</x:f>
        <x:v>27.5</x:v>
      </x:c>
      <x:c r="T552" s="60" t="str">
        <x:v>64 HIGH STREET, HARLTON, CAMBRIDGE, CB23 1ES</x:v>
      </x:c>
      <x:c r="U552" s="60"/>
      <x:c r="V552" s="60"/>
      <x:c r="W552" s="63"/>
      <x:c r="X552" s="65" t="n">
        <x:f>TODAY()</x:f>
        <x:v>46250</x:v>
      </x:c>
    </x:row>
    <x:row r="553">
      <x:c r="A553" s="59" t="str">
        <x:v>PAGE</x:v>
      </x:c>
      <x:c r="B553" s="60" t="str">
        <x:v>THOMAS</x:v>
      </x:c>
      <x:c r="C553" s="60" t="str">
        <x:v>ALEXANDER</x:v>
      </x:c>
      <x:c r="D553" s="61" t="n">
        <x:v>29984.5</x:v>
      </x:c>
      <x:c r="E553" s="62" t="n">
        <x:f>IF(OR(D553="",X553=""),"",IFERROR(DATEDIF(D553,X553,"y"),""))</x:f>
        <x:v>44</x:v>
      </x:c>
      <x:c r="F553" s="60" t="str">
        <x:v>WOOD</x:v>
      </x:c>
      <x:c r="G553" s="63"/>
      <x:c r="H553" s="63" t="str">
        <x:v>JW194215D</x:v>
      </x:c>
      <x:c r="I553" s="61" t="n">
        <x:v>40756.5</x:v>
      </x:c>
      <x:c r="J553" s="64" t="n">
        <x:f>IF(OR(I553="",X553=""),"",IFERROR(DATEDIF(I553,X553,"m")/12,""))</x:f>
        <x:v>15</x:v>
      </x:c>
      <x:c r="K553" s="60" t="str">
        <x:v>FLAT 2, QUEENS COURT, 25-27, EARL'S COURT SQUARE, LONDON, LONDON, SW5 9DA</x:v>
      </x:c>
      <x:c r="L553" s="60" t="str">
        <x:v> LONDON, SW5 9DA</x:v>
      </x:c>
      <x:c r="M553" s="60"/>
      <x:c r="N553" s="60" t="str">
        <x:v> SW5 9DA</x:v>
      </x:c>
      <x:c r="O553" s="61"/>
      <x:c r="P553" s="64" t="str">
        <x:f>IF(OR(O553="",I553=""),"",IFERROR(DATEDIF(O553,I553,"m")/12,""))</x:f>
      </x:c>
      <x:c r="Q553" s="60"/>
      <x:c r="R553" s="61"/>
      <x:c r="S553" s="64" t="str">
        <x:f>IF(OR(R553="",X553=""),"",IFERROR(DATEDIF(R553,X553,"m")/12,""))</x:f>
      </x:c>
      <x:c r="T553" s="60"/>
      <x:c r="U553" s="60"/>
      <x:c r="V553" s="60"/>
      <x:c r="W553" s="63"/>
      <x:c r="X553" s="65" t="n">
        <x:f>TODAY()</x:f>
        <x:v>46250</x:v>
      </x:c>
    </x:row>
    <x:row r="554">
      <x:c r="A554" s="59" t="str">
        <x:v>PAGE</x:v>
      </x:c>
      <x:c r="B554" s="60" t="str">
        <x:v>MELINDA</x:v>
      </x:c>
      <x:c r="C554" s="60" t="str">
        <x:v>CHERE MELVILLE</x:v>
      </x:c>
      <x:c r="D554" s="61" t="n">
        <x:v>26642.5</x:v>
      </x:c>
      <x:c r="E554" s="62" t="n">
        <x:f>IF(OR(D554="",X554=""),"",IFERROR(DATEDIF(D554,X554,"y"),""))</x:f>
        <x:v>53</x:v>
      </x:c>
      <x:c r="F554" s="60" t="str">
        <x:v>LA BORDE</x:v>
      </x:c>
      <x:c r="G554" s="63" t="str">
        <x:v>07444942639</x:v>
      </x:c>
      <x:c r="H554" s="63"/>
      <x:c r="I554" s="61" t="n">
        <x:v>42614.5</x:v>
      </x:c>
      <x:c r="J554" s="64" t="n">
        <x:f>IF(OR(I554="",X554=""),"",IFERROR(DATEDIF(I554,X554,"m")/12,""))</x:f>
        <x:v>9.916666666666666</x:v>
      </x:c>
      <x:c r="K554" s="60" t="str">
        <x:v>PENTHOUSE 55 LANCASTER GATE LONDON W2 3NA</x:v>
      </x:c>
      <x:c r="L554" s="60"/>
      <x:c r="M554" s="60"/>
      <x:c r="N554" s="60"/>
      <x:c r="O554" s="61" t="n">
        <x:v>40664.5</x:v>
      </x:c>
      <x:c r="P554" s="64" t="n">
        <x:f>IF(OR(O554="",I554=""),"",IFERROR(DATEDIF(O554,I554,"m")/12,""))</x:f>
        <x:v>5.333333333333333</x:v>
      </x:c>
      <x:c r="Q554" s="60" t="str">
        <x:v>GROUND FLOOR, 62 FRITHVILLE GARDENS, LONDON, W12 7JN</x:v>
      </x:c>
      <x:c r="R554" s="61" t="n">
        <x:v>41518.5</x:v>
      </x:c>
      <x:c r="S554" s="64" t="n">
        <x:f>IF(OR(R554="",X554=""),"",IFERROR(DATEDIF(R554,X554,"m")/12,""))</x:f>
        <x:v>12.916666666666666</x:v>
      </x:c>
      <x:c r="T554" s="60" t="str">
        <x:v>COMPANY DIRECTOR</x:v>
      </x:c>
      <x:c r="U554" s="60" t="str">
        <x:v>CASA CHERE LIMITED</x:v>
      </x:c>
      <x:c r="V554" s="60"/>
      <x:c r="W554" s="63"/>
      <x:c r="X554" s="65" t="n">
        <x:f>TODAY()</x:f>
        <x:v>46250</x:v>
      </x:c>
    </x:row>
    <x:row r="555">
      <x:c r="A555" s="59" t="str">
        <x:v>PAIDOUSI</x:v>
      </x:c>
      <x:c r="B555" s="60" t="str">
        <x:v>DANAI</x:v>
      </x:c>
      <x:c r="C555" s="60" t="str">
        <x:v>MARIA</x:v>
      </x:c>
      <x:c r="D555" s="61" t="n">
        <x:v>35645.5</x:v>
      </x:c>
      <x:c r="E555" s="62" t="n">
        <x:f>IF(OR(D555="",X555=""),"",IFERROR(DATEDIF(D555,X555,"y"),""))</x:f>
        <x:v>29</x:v>
      </x:c>
      <x:c r="F555" s="60"/>
      <x:c r="G555" s="63" t="str">
        <x:v>07947955398‬</x:v>
      </x:c>
      <x:c r="H555" s="63"/>
      <x:c r="I555" s="61" t="n">
        <x:v>44317.5</x:v>
      </x:c>
      <x:c r="J555" s="64" t="n">
        <x:f>IF(OR(I555="",X555=""),"",IFERROR(DATEDIF(I555,X555,"m")/12,""))</x:f>
        <x:v>5.25</x:v>
      </x:c>
      <x:c r="K555" s="60" t="str">
        <x:v>FLAT 3, 55-57 GLOUCESTER ROAD, LONDON, SW7 4QN</x:v>
      </x:c>
      <x:c r="L555" s="60" t="str">
        <x:v> SW7 4QN</x:v>
      </x:c>
      <x:c r="M555" s="60"/>
      <x:c r="N555" s="60" t="str">
        <x:v>SW7 4QN</x:v>
      </x:c>
      <x:c r="O555" s="61" t="n">
        <x:v>43344.5</x:v>
      </x:c>
      <x:c r="P555" s="64" t="n">
        <x:f>IF(OR(O555="",I555=""),"",IFERROR(DATEDIF(O555,I555,"m")/12,""))</x:f>
        <x:v>2.6666666666666665</x:v>
      </x:c>
      <x:c r="Q555" s="60" t="str">
        <x:v>FLAT 20, PRINCE'S COURT, 88 BROMPTON ROAD, LONDON, UNITED KINGDOM, SW31ES</x:v>
      </x:c>
      <x:c r="R555" s="61" t="n">
        <x:v>44501.5</x:v>
      </x:c>
      <x:c r="S555" s="64" t="n">
        <x:f>IF(OR(R555="",X555=""),"",IFERROR(DATEDIF(R555,X555,"m")/12,""))</x:f>
        <x:v>4.75</x:v>
      </x:c>
      <x:c r="T555" s="60" t="str">
        <x:v>ACCOUNT EXECUTIVE</x:v>
      </x:c>
      <x:c r="U555" s="60" t="str">
        <x:v>DARKTRACE HOLDINGS LIMITED</x:v>
      </x:c>
      <x:c r="V555" s="60"/>
      <x:c r="W555" s="63"/>
      <x:c r="X555" s="65" t="n">
        <x:f>TODAY()</x:f>
        <x:v>46250</x:v>
      </x:c>
    </x:row>
    <x:row r="556">
      <x:c r="A556" s="59" t="str">
        <x:v>PALINKAS</x:v>
      </x:c>
      <x:c r="B556" s="60" t="str">
        <x:v>KRISZTIAN</x:v>
      </x:c>
      <x:c r="C556" s="60"/>
      <x:c r="D556" s="61" t="n">
        <x:v>34151.5</x:v>
      </x:c>
      <x:c r="E556" s="62" t="n">
        <x:f>IF(OR(D556="",X556=""),"",IFERROR(DATEDIF(D556,X556,"y"),""))</x:f>
        <x:v>33</x:v>
      </x:c>
      <x:c r="F556" s="60"/>
      <x:c r="G556" s="63"/>
      <x:c r="H556" s="63"/>
      <x:c r="I556" s="61"/>
      <x:c r="J556" s="64" t="str">
        <x:f>IF(OR(I556="",X556=""),"",IFERROR(DATEDIF(I556,X556,"m")/12,""))</x:f>
      </x:c>
      <x:c r="K556" s="60" t="str">
        <x:v>FLAT 1, 55 CLEVELAND SQUARE, LONDON, W2 6DP</x:v>
      </x:c>
      <x:c r="L556" s="60" t="str">
        <x:v> W2 6DP</x:v>
      </x:c>
      <x:c r="M556" s="60"/>
      <x:c r="N556" s="60" t="str">
        <x:v>W2 6DP</x:v>
      </x:c>
      <x:c r="O556" s="61"/>
      <x:c r="P556" s="64" t="str">
        <x:f>IF(OR(O556="",I556=""),"",IFERROR(DATEDIF(O556,I556,"m")/12,""))</x:f>
      </x:c>
      <x:c r="Q556" s="60"/>
      <x:c r="R556" s="61"/>
      <x:c r="S556" s="64" t="str">
        <x:f>IF(OR(R556="",X556=""),"",IFERROR(DATEDIF(R556,X556,"m")/12,""))</x:f>
      </x:c>
      <x:c r="T556" s="60"/>
      <x:c r="U556" s="60"/>
      <x:c r="V556" s="60"/>
      <x:c r="W556" s="63"/>
      <x:c r="X556" s="65" t="n">
        <x:f>TODAY()</x:f>
        <x:v>46250</x:v>
      </x:c>
    </x:row>
    <x:row r="557">
      <x:c r="A557" s="59" t="str">
        <x:v>PALMER</x:v>
      </x:c>
      <x:c r="B557" s="60" t="str">
        <x:v>GARTH</x:v>
      </x:c>
      <x:c r="C557" s="60" t="str">
        <x:v>MERVYN</x:v>
      </x:c>
      <x:c r="D557" s="61" t="n">
        <x:v>29466.5</x:v>
      </x:c>
      <x:c r="E557" s="62" t="n">
        <x:f>IF(OR(D557="",X557=""),"",IFERROR(DATEDIF(D557,X557,"y"),""))</x:f>
        <x:v>45</x:v>
      </x:c>
      <x:c r="F557" s="60"/>
      <x:c r="G557" s="63"/>
      <x:c r="H557" s="63"/>
      <x:c r="I557" s="61"/>
      <x:c r="J557" s="64" t="str">
        <x:f>IF(OR(I557="",X557=""),"",IFERROR(DATEDIF(I557,X557,"m")/12,""))</x:f>
      </x:c>
      <x:c r="K557" s="60"/>
      <x:c r="L557" s="60"/>
      <x:c r="M557" s="60"/>
      <x:c r="N557" s="60"/>
      <x:c r="O557" s="61"/>
      <x:c r="P557" s="64" t="str">
        <x:f>IF(OR(O557="",I557=""),"",IFERROR(DATEDIF(O557,I557,"m")/12,""))</x:f>
      </x:c>
      <x:c r="Q557" s="60"/>
      <x:c r="R557" s="61"/>
      <x:c r="S557" s="64" t="str">
        <x:f>IF(OR(R557="",X557=""),"",IFERROR(DATEDIF(R557,X557,"m")/12,""))</x:f>
      </x:c>
      <x:c r="T557" s="60"/>
      <x:c r="U557" s="60"/>
      <x:c r="V557" s="60"/>
      <x:c r="W557" s="63"/>
      <x:c r="X557" s="65" t="n">
        <x:f>TODAY()</x:f>
        <x:v>46250</x:v>
      </x:c>
    </x:row>
    <x:row r="558">
      <x:c r="A558" s="59" t="str">
        <x:v>PALMERINI</x:v>
      </x:c>
      <x:c r="B558" s="60" t="str">
        <x:v>GIULIA</x:v>
      </x:c>
      <x:c r="C558" s="60"/>
      <x:c r="D558" s="61" t="n">
        <x:v>36759.5</x:v>
      </x:c>
      <x:c r="E558" s="62" t="n">
        <x:f>IF(OR(D558="",X558=""),"",IFERROR(DATEDIF(D558,X558,"y"),""))</x:f>
        <x:v>25</x:v>
      </x:c>
      <x:c r="F558" s="60"/>
      <x:c r="G558" s="63"/>
      <x:c r="H558" s="63"/>
      <x:c r="I558" s="61"/>
      <x:c r="J558" s="64" t="str">
        <x:f>IF(OR(I558="",X558=""),"",IFERROR(DATEDIF(I558,X558,"m")/12,""))</x:f>
      </x:c>
      <x:c r="K558" s="60" t="str">
        <x:v>13 NEVERN SQUARE, LONDON, SW5 9NW</x:v>
      </x:c>
      <x:c r="L558" s="60" t="str">
        <x:v> SW5 9NW</x:v>
      </x:c>
      <x:c r="M558" s="60"/>
      <x:c r="N558" s="60" t="str">
        <x:v>SW5 9NW</x:v>
      </x:c>
      <x:c r="O558" s="61"/>
      <x:c r="P558" s="64" t="str">
        <x:f>IF(OR(O558="",I558=""),"",IFERROR(DATEDIF(O558,I558,"m")/12,""))</x:f>
      </x:c>
      <x:c r="Q558" s="60"/>
      <x:c r="R558" s="61"/>
      <x:c r="S558" s="64" t="str">
        <x:f>IF(OR(R558="",X558=""),"",IFERROR(DATEDIF(R558,X558,"m")/12,""))</x:f>
      </x:c>
      <x:c r="T558" s="60"/>
      <x:c r="U558" s="60"/>
      <x:c r="V558" s="60"/>
      <x:c r="W558" s="63"/>
      <x:c r="X558" s="65" t="n">
        <x:f>TODAY()</x:f>
        <x:v>46250</x:v>
      </x:c>
    </x:row>
    <x:row r="559">
      <x:c r="A559" s="59" t="str">
        <x:v>PANAYOTOPOULOS</x:v>
      </x:c>
      <x:c r="B559" s="60" t="str">
        <x:v>CATHERINE</x:v>
      </x:c>
      <x:c r="C559" s="60"/>
      <x:c r="D559" s="61" t="n">
        <x:v>33566.5</x:v>
      </x:c>
      <x:c r="E559" s="62" t="n">
        <x:f>IF(OR(D559="",X559=""),"",IFERROR(DATEDIF(D559,X559,"y"),""))</x:f>
        <x:v>34</x:v>
      </x:c>
      <x:c r="F559" s="60" t="str">
        <x:v>CASSIOTOU</x:v>
      </x:c>
      <x:c r="G559" s="63"/>
      <x:c r="H559" s="63"/>
      <x:c r="I559" s="61"/>
      <x:c r="J559" s="64" t="str">
        <x:f>IF(OR(I559="",X559=""),"",IFERROR(DATEDIF(I559,X559,"m")/12,""))</x:f>
      </x:c>
      <x:c r="K559" s="60"/>
      <x:c r="L559" s="60"/>
      <x:c r="M559" s="60"/>
      <x:c r="N559" s="60"/>
      <x:c r="O559" s="61"/>
      <x:c r="P559" s="64" t="str">
        <x:f>IF(OR(O559="",I559=""),"",IFERROR(DATEDIF(O559,I559,"m")/12,""))</x:f>
      </x:c>
      <x:c r="Q559" s="60"/>
      <x:c r="R559" s="61"/>
      <x:c r="S559" s="64" t="str">
        <x:f>IF(OR(R559="",X559=""),"",IFERROR(DATEDIF(R559,X559,"m")/12,""))</x:f>
      </x:c>
      <x:c r="T559" s="60" t="str">
        <x:v>EXECUTIVE COMMUNICATIONS AND EVENTS MANAGER</x:v>
      </x:c>
      <x:c r="U559" s="60" t="str">
        <x:v>UNIGLOBE TRAVEL</x:v>
      </x:c>
      <x:c r="V559" s="60"/>
      <x:c r="W559" s="63"/>
      <x:c r="X559" s="65" t="n">
        <x:f>TODAY()</x:f>
        <x:v>46250</x:v>
      </x:c>
    </x:row>
    <x:row r="560">
      <x:c r="A560" s="59" t="str">
        <x:v>PANAYOTOPOULOU</x:v>
      </x:c>
      <x:c r="B560" s="60" t="str">
        <x:v>ELECTRA</x:v>
      </x:c>
      <x:c r="C560" s="60"/>
      <x:c r="D560" s="61" t="n">
        <x:v>26663.5</x:v>
      </x:c>
      <x:c r="E560" s="62" t="n">
        <x:f>IF(OR(D560="",X560=""),"",IFERROR(DATEDIF(D560,X560,"y"),""))</x:f>
        <x:v>53</x:v>
      </x:c>
      <x:c r="F560" s="60" t="str">
        <x:v>DIMITRIADIS</x:v>
      </x:c>
      <x:c r="G560" s="63" t="str">
        <x:v>07951403198</x:v>
      </x:c>
      <x:c r="H560" s="63"/>
      <x:c r="I560" s="61" t="n">
        <x:v>40057.5</x:v>
      </x:c>
      <x:c r="J560" s="64" t="n">
        <x:f>IF(OR(I560="",X560=""),"",IFERROR(DATEDIF(I560,X560,"m")/12,""))</x:f>
        <x:v>16.916666666666668</x:v>
      </x:c>
      <x:c r="K560" s="60" t="str">
        <x:v>FLAT 4, 47 CLANRICARDE GARDENS, LONDON, W2 4JN</x:v>
      </x:c>
      <x:c r="L560" s="60" t="str">
        <x:v> W2 4JN</x:v>
      </x:c>
      <x:c r="M560" s="60"/>
      <x:c r="N560" s="60" t="str">
        <x:v>W2 4JN</x:v>
      </x:c>
      <x:c r="O560" s="61"/>
      <x:c r="P560" s="64" t="str">
        <x:f>IF(OR(O560="",I560=""),"",IFERROR(DATEDIF(O560,I560,"m")/12,""))</x:f>
      </x:c>
      <x:c r="Q560" s="60"/>
      <x:c r="R560" s="61" t="n">
        <x:v>44136.5</x:v>
      </x:c>
      <x:c r="S560" s="64" t="n">
        <x:f>IF(OR(R560="",X560=""),"",IFERROR(DATEDIF(R560,X560,"m")/12,""))</x:f>
        <x:v>5.75</x:v>
      </x:c>
      <x:c r="T560" s="60" t="str">
        <x:v>SENIOR CONSULTANT</x:v>
      </x:c>
      <x:c r="U560" s="60" t="str">
        <x:v>SHORESIDE LAW</x:v>
      </x:c>
      <x:c r="V560" s="60" t="str">
        <x:v>11, THE TIMBER YARD, DRYSDALE STREET, LONDON N1 6ND</x:v>
      </x:c>
      <x:c r="W560" s="63" t="str">
        <x:v>020 3771 8869</x:v>
      </x:c>
      <x:c r="X560" s="65" t="n">
        <x:f>TODAY()</x:f>
        <x:v>46250</x:v>
      </x:c>
    </x:row>
    <x:row r="561">
      <x:c r="A561" s="59" t="str">
        <x:v>PAPA</x:v>
      </x:c>
      <x:c r="B561" s="60" t="str">
        <x:v>JACK</x:v>
      </x:c>
      <x:c r="C561" s="60" t="str">
        <x:v>MOMODOU</x:v>
      </x:c>
      <x:c r="D561" s="61" t="n">
        <x:v>34289.5</x:v>
      </x:c>
      <x:c r="E561" s="62" t="n">
        <x:f>IF(OR(D561="",X561=""),"",IFERROR(DATEDIF(D561,X561,"y"),""))</x:f>
        <x:v>32</x:v>
      </x:c>
      <x:c r="F561" s="60"/>
      <x:c r="G561" s="63"/>
      <x:c r="H561" s="63"/>
      <x:c r="I561" s="61"/>
      <x:c r="J561" s="64" t="str">
        <x:f>IF(OR(I561="",X561=""),"",IFERROR(DATEDIF(I561,X561,"m")/12,""))</x:f>
      </x:c>
      <x:c r="K561" s="60" t="str">
        <x:v>FLAT12,13 NEVERN SQUARE, LONDON, SW5 9NW</x:v>
      </x:c>
      <x:c r="L561" s="60" t="str">
        <x:v> SW5 9NW</x:v>
      </x:c>
      <x:c r="M561" s="60"/>
      <x:c r="N561" s="60" t="str">
        <x:v>SW5 9NW</x:v>
      </x:c>
      <x:c r="O561" s="61"/>
      <x:c r="P561" s="64" t="str">
        <x:f>IF(OR(O561="",I561=""),"",IFERROR(DATEDIF(O561,I561,"m")/12,""))</x:f>
      </x:c>
      <x:c r="Q561" s="60"/>
      <x:c r="R561" s="61"/>
      <x:c r="S561" s="64" t="str">
        <x:f>IF(OR(R561="",X561=""),"",IFERROR(DATEDIF(R561,X561,"m")/12,""))</x:f>
      </x:c>
      <x:c r="T561" s="60"/>
      <x:c r="U561" s="60"/>
      <x:c r="V561" s="60"/>
      <x:c r="W561" s="63"/>
      <x:c r="X561" s="65" t="n">
        <x:f>TODAY()</x:f>
        <x:v>46250</x:v>
      </x:c>
    </x:row>
    <x:row r="562">
      <x:c r="A562" s="59" t="str">
        <x:v>PAREKH</x:v>
      </x:c>
      <x:c r="B562" s="60" t="str">
        <x:v>GIRISH</x:v>
      </x:c>
      <x:c r="C562" s="60"/>
      <x:c r="D562" s="61" t="n">
        <x:v>24567.5</x:v>
      </x:c>
      <x:c r="E562" s="62" t="n">
        <x:f>IF(OR(D562="",X562=""),"",IFERROR(DATEDIF(D562,X562,"y"),""))</x:f>
        <x:v>59</x:v>
      </x:c>
      <x:c r="F562" s="60"/>
      <x:c r="G562" s="63"/>
      <x:c r="H562" s="63"/>
      <x:c r="I562" s="61"/>
      <x:c r="J562" s="64" t="str">
        <x:f>IF(OR(I562="",X562=""),"",IFERROR(DATEDIF(I562,X562,"m")/12,""))</x:f>
      </x:c>
      <x:c r="K562" s="60"/>
      <x:c r="L562" s="60"/>
      <x:c r="M562" s="60"/>
      <x:c r="N562" s="60"/>
      <x:c r="O562" s="61"/>
      <x:c r="P562" s="64" t="str">
        <x:f>IF(OR(O562="",I562=""),"",IFERROR(DATEDIF(O562,I562,"m")/12,""))</x:f>
      </x:c>
      <x:c r="Q562" s="60"/>
      <x:c r="R562" s="61"/>
      <x:c r="S562" s="64" t="str">
        <x:f>IF(OR(R562="",X562=""),"",IFERROR(DATEDIF(R562,X562,"m")/12,""))</x:f>
      </x:c>
      <x:c r="T562" s="60"/>
      <x:c r="U562" s="60"/>
      <x:c r="V562" s="60"/>
      <x:c r="W562" s="63"/>
      <x:c r="X562" s="65" t="n">
        <x:f>TODAY()</x:f>
        <x:v>46250</x:v>
      </x:c>
    </x:row>
    <x:row r="563">
      <x:c r="A563" s="59" t="str">
        <x:v>PARISI-SMIECENCH</x:v>
      </x:c>
      <x:c r="B563" s="60" t="str">
        <x:v>FRANCESCA</x:v>
      </x:c>
      <x:c r="C563" s="60"/>
      <x:c r="D563" s="61" t="n">
        <x:v>26523.5</x:v>
      </x:c>
      <x:c r="E563" s="62" t="n">
        <x:f>IF(OR(D563="",X563=""),"",IFERROR(DATEDIF(D563,X563,"y"),""))</x:f>
        <x:v>54</x:v>
      </x:c>
      <x:c r="F563" s="60" t="str">
        <x:v>SCHELDORF</x:v>
      </x:c>
      <x:c r="G563" s="63"/>
      <x:c r="H563" s="63"/>
      <x:c r="I563" s="61" t="n">
        <x:v>42217.5</x:v>
      </x:c>
      <x:c r="J563" s="64" t="n">
        <x:f>IF(OR(I563="",X563=""),"",IFERROR(DATEDIF(I563,X563,"m")/12,""))</x:f>
        <x:v>11</x:v>
      </x:c>
      <x:c r="K563" s="60" t="str">
        <x:v>FLAT 2, 165 CROMWELL ROAD, LONDON, SW5 0SQ</x:v>
      </x:c>
      <x:c r="L563" s="60" t="str">
        <x:v> SW5 0SQ</x:v>
      </x:c>
      <x:c r="M563" s="60"/>
      <x:c r="N563" s="60" t="str">
        <x:v>SW5 0SQ</x:v>
      </x:c>
      <x:c r="O563" s="61"/>
      <x:c r="P563" s="64" t="str">
        <x:f>IF(OR(O563="",I563=""),"",IFERROR(DATEDIF(O563,I563,"m")/12,""))</x:f>
      </x:c>
      <x:c r="Q563" s="60"/>
      <x:c r="R563" s="61" t="n">
        <x:v>40026.5</x:v>
      </x:c>
      <x:c r="S563" s="64" t="n">
        <x:f>IF(OR(R563="",X563=""),"",IFERROR(DATEDIF(R563,X563,"m")/12,""))</x:f>
        <x:v>17</x:v>
      </x:c>
      <x:c r="T563" s="60" t="str">
        <x:v>MANAGING DIRECTOR</x:v>
      </x:c>
      <x:c r="U563" s="60" t="str">
        <x:v>OPPENHEIMER EUROPE LTD</x:v>
      </x:c>
      <x:c r="V563" s="60" t="str">
        <x:v>6 GRACECHURCH STREET, LONDON, ENGLAND EC3V 0AT</x:v>
      </x:c>
      <x:c r="W563" s="63"/>
      <x:c r="X563" s="65" t="n">
        <x:f>TODAY()</x:f>
        <x:v>46250</x:v>
      </x:c>
    </x:row>
    <x:row r="564">
      <x:c r="A564" s="59" t="str">
        <x:v>PARKER</x:v>
      </x:c>
      <x:c r="B564" s="60" t="str">
        <x:v>SARAH</x:v>
      </x:c>
      <x:c r="C564" s="60" t="str">
        <x:v>ELEANOR</x:v>
      </x:c>
      <x:c r="D564" s="61" t="n">
        <x:v>28439.5</x:v>
      </x:c>
      <x:c r="E564" s="62" t="n">
        <x:f>IF(OR(D564="",X564=""),"",IFERROR(DATEDIF(D564,X564,"y"),""))</x:f>
        <x:v>48</x:v>
      </x:c>
      <x:c r="F564" s="60" t="str">
        <x:v>MORRIS</x:v>
      </x:c>
      <x:c r="G564" s="63"/>
      <x:c r="H564" s="63"/>
      <x:c r="I564" s="61"/>
      <x:c r="J564" s="64" t="str">
        <x:f>IF(OR(I564="",X564=""),"",IFERROR(DATEDIF(I564,X564,"m")/12,""))</x:f>
      </x:c>
      <x:c r="K564" s="60"/>
      <x:c r="L564" s="60"/>
      <x:c r="M564" s="60"/>
      <x:c r="N564" s="60"/>
      <x:c r="O564" s="61"/>
      <x:c r="P564" s="64" t="str">
        <x:f>IF(OR(O564="",I564=""),"",IFERROR(DATEDIF(O564,I564,"m")/12,""))</x:f>
      </x:c>
      <x:c r="Q564" s="60"/>
      <x:c r="R564" s="61"/>
      <x:c r="S564" s="64" t="str">
        <x:f>IF(OR(R564="",X564=""),"",IFERROR(DATEDIF(R564,X564,"m")/12,""))</x:f>
      </x:c>
      <x:c r="T564" s="60"/>
      <x:c r="U564" s="60"/>
      <x:c r="V564" s="60"/>
      <x:c r="W564" s="63"/>
      <x:c r="X564" s="65" t="n">
        <x:f>TODAY()</x:f>
        <x:v>46250</x:v>
      </x:c>
    </x:row>
    <x:row r="565">
      <x:c r="A565" s="59" t="str">
        <x:v>PARPERI</x:v>
      </x:c>
      <x:c r="B565" s="60" t="str">
        <x:v>EVITA</x:v>
      </x:c>
      <x:c r="C565" s="60"/>
      <x:c r="D565" s="61" t="n">
        <x:v>33764.5</x:v>
      </x:c>
      <x:c r="E565" s="62" t="n">
        <x:f>IF(OR(D565="",X565=""),"",IFERROR(DATEDIF(D565,X565,"y"),""))</x:f>
        <x:v>34</x:v>
      </x:c>
      <x:c r="F565" s="60"/>
      <x:c r="G565" s="63"/>
      <x:c r="H565" s="63"/>
      <x:c r="I565" s="61"/>
      <x:c r="J565" s="64" t="str">
        <x:f>IF(OR(I565="",X565=""),"",IFERROR(DATEDIF(I565,X565,"m")/12,""))</x:f>
      </x:c>
      <x:c r="K565" s="60" t="str">
        <x:v>FLAT 203, 30-31 PHILBEACH GARDENS, LONDON, SW5 9EB</x:v>
      </x:c>
      <x:c r="L565" s="60" t="str">
        <x:v> SW5 9EB</x:v>
      </x:c>
      <x:c r="M565" s="60"/>
      <x:c r="N565" s="60" t="str">
        <x:v>SW5 9EB</x:v>
      </x:c>
      <x:c r="O565" s="61"/>
      <x:c r="P565" s="64" t="str">
        <x:f>IF(OR(O565="",I565=""),"",IFERROR(DATEDIF(O565,I565,"m")/12,""))</x:f>
      </x:c>
      <x:c r="Q565" s="60"/>
      <x:c r="R565" s="61"/>
      <x:c r="S565" s="64" t="str">
        <x:f>IF(OR(R565="",X565=""),"",IFERROR(DATEDIF(R565,X565,"m")/12,""))</x:f>
      </x:c>
      <x:c r="T565" s="60"/>
      <x:c r="U565" s="60"/>
      <x:c r="V565" s="60"/>
      <x:c r="W565" s="63"/>
      <x:c r="X565" s="65" t="n">
        <x:f>TODAY()</x:f>
        <x:v>46250</x:v>
      </x:c>
    </x:row>
    <x:row r="566">
      <x:c r="A566" s="59" t="str">
        <x:v>PARSONS</x:v>
      </x:c>
      <x:c r="B566" s="60" t="str">
        <x:v>KATHRYN</x:v>
      </x:c>
      <x:c r="C566" s="60"/>
      <x:c r="D566" s="61" t="n">
        <x:v>29833.5</x:v>
      </x:c>
      <x:c r="E566" s="62" t="n">
        <x:f>IF(OR(D566="",X566=""),"",IFERROR(DATEDIF(D566,X566,"y"),""))</x:f>
        <x:v>44</x:v>
      </x:c>
      <x:c r="F566" s="60"/>
      <x:c r="G566" s="63"/>
      <x:c r="H566" s="63" t="str">
        <x:v>JJ382648A</x:v>
      </x:c>
      <x:c r="I566" s="61" t="n">
        <x:v>42583.5</x:v>
      </x:c>
      <x:c r="J566" s="64" t="n">
        <x:f>IF(OR(I566="",X566=""),"",IFERROR(DATEDIF(I566,X566,"m")/12,""))</x:f>
        <x:v>10</x:v>
      </x:c>
      <x:c r="K566" s="60" t="str">
        <x:v>FLAT 3, 44 JAMES STREET, W1U 1EY</x:v>
      </x:c>
      <x:c r="L566" s="60"/>
      <x:c r="M566" s="60"/>
      <x:c r="N566" s="60"/>
      <x:c r="O566" s="61"/>
      <x:c r="P566" s="64" t="str">
        <x:f>IF(OR(O566="",I566=""),"",IFERROR(DATEDIF(O566,I566,"m")/12,""))</x:f>
      </x:c>
      <x:c r="Q566" s="60"/>
      <x:c r="R566" s="61"/>
      <x:c r="S566" s="64" t="str">
        <x:f>IF(OR(R566="",X566=""),"",IFERROR(DATEDIF(R566,X566,"m")/12,""))</x:f>
      </x:c>
      <x:c r="T566" s="60"/>
      <x:c r="U566" s="60"/>
      <x:c r="V566" s="60"/>
      <x:c r="W566" s="63"/>
      <x:c r="X566" s="65" t="n">
        <x:f>TODAY()</x:f>
        <x:v>46250</x:v>
      </x:c>
    </x:row>
    <x:row r="567">
      <x:c r="A567" s="59" t="str">
        <x:v>PATHAK</x:v>
      </x:c>
      <x:c r="B567" s="60" t="str">
        <x:v>ADVAI</x:v>
      </x:c>
      <x:c r="C567" s="60"/>
      <x:c r="D567" s="61" t="n">
        <x:v>33890.5</x:v>
      </x:c>
      <x:c r="E567" s="62" t="n">
        <x:f>IF(OR(D567="",X567=""),"",IFERROR(DATEDIF(D567,X567,"y"),""))</x:f>
        <x:v>33</x:v>
      </x:c>
      <x:c r="F567" s="60"/>
      <x:c r="G567" s="63"/>
      <x:c r="H567" s="63"/>
      <x:c r="I567" s="61"/>
      <x:c r="J567" s="64" t="str">
        <x:f>IF(OR(I567="",X567=""),"",IFERROR(DATEDIF(I567,X567,"m")/12,""))</x:f>
      </x:c>
      <x:c r="K567" s="60" t="str">
        <x:v>FLAT 9,68 GREAT CUMBERLAND PLACE, LONDON, W1H 7TX</x:v>
      </x:c>
      <x:c r="L567" s="60" t="str">
        <x:v> W1H 7TX</x:v>
      </x:c>
      <x:c r="M567" s="60"/>
      <x:c r="N567" s="60" t="str">
        <x:v>W1H 7TX</x:v>
      </x:c>
      <x:c r="O567" s="61"/>
      <x:c r="P567" s="64" t="str">
        <x:f>IF(OR(O567="",I567=""),"",IFERROR(DATEDIF(O567,I567,"m")/12,""))</x:f>
      </x:c>
      <x:c r="Q567" s="60"/>
      <x:c r="R567" s="61"/>
      <x:c r="S567" s="64" t="str">
        <x:f>IF(OR(R567="",X567=""),"",IFERROR(DATEDIF(R567,X567,"m")/12,""))</x:f>
      </x:c>
      <x:c r="T567" s="60"/>
      <x:c r="U567" s="60"/>
      <x:c r="V567" s="60"/>
      <x:c r="W567" s="63"/>
      <x:c r="X567" s="65" t="n">
        <x:f>TODAY()</x:f>
        <x:v>46250</x:v>
      </x:c>
    </x:row>
    <x:row r="568">
      <x:c r="A568" s="59" t="str">
        <x:v>PAYNE</x:v>
      </x:c>
      <x:c r="B568" s="60" t="str">
        <x:v>ROBERT</x:v>
      </x:c>
      <x:c r="C568" s="60" t="str">
        <x:v>CHARLES RENOLD</x:v>
      </x:c>
      <x:c r="D568" s="61"/>
      <x:c r="E568" s="62" t="str">
        <x:f>IF(OR(D568="",X568=""),"",IFERROR(DATEDIF(D568,X568,"y"),""))</x:f>
      </x:c>
      <x:c r="F568" s="60" t="str">
        <x:v>DUNFORD</x:v>
      </x:c>
      <x:c r="G568" s="63"/>
      <x:c r="H568" s="63"/>
      <x:c r="I568" s="61"/>
      <x:c r="J568" s="64" t="str">
        <x:f>IF(OR(I568="",X568=""),"",IFERROR(DATEDIF(I568,X568,"m")/12,""))</x:f>
      </x:c>
      <x:c r="K568" s="60" t="str">
        <x:v>FLAT 4, HEATH VIEW, 8 WINDMILL DRIVE, LONDON, SW4 9DE</x:v>
      </x:c>
      <x:c r="L568" s="60" t="str">
        <x:v> SW4 9DE</x:v>
      </x:c>
      <x:c r="M568" s="60"/>
      <x:c r="N568" s="60" t="str">
        <x:v>SW4 9DE</x:v>
      </x:c>
      <x:c r="O568" s="61"/>
      <x:c r="P568" s="64" t="str">
        <x:f>IF(OR(O568="",I568=""),"",IFERROR(DATEDIF(O568,I568,"m")/12,""))</x:f>
      </x:c>
      <x:c r="Q568" s="60"/>
      <x:c r="R568" s="61"/>
      <x:c r="S568" s="64" t="str">
        <x:f>IF(OR(R568="",X568=""),"",IFERROR(DATEDIF(R568,X568,"m")/12,""))</x:f>
      </x:c>
      <x:c r="T568" s="60"/>
      <x:c r="U568" s="60"/>
      <x:c r="V568" s="60"/>
      <x:c r="W568" s="63"/>
      <x:c r="X568" s="65" t="n">
        <x:f>TODAY()</x:f>
        <x:v>46250</x:v>
      </x:c>
    </x:row>
    <x:row r="569">
      <x:c r="A569" s="59" t="str">
        <x:v>PEARCE</x:v>
      </x:c>
      <x:c r="B569" s="60"/>
      <x:c r="C569" s="60" t="str">
        <x:v>FOLUSO</x:v>
      </x:c>
      <x:c r="D569" s="61" t="n">
        <x:v>23782.5</x:v>
      </x:c>
      <x:c r="E569" s="62" t="n">
        <x:f>IF(OR(D569="",X569=""),"",IFERROR(DATEDIF(D569,X569,"y"),""))</x:f>
        <x:v>61</x:v>
      </x:c>
      <x:c r="F569" s="60"/>
      <x:c r="G569" s="63"/>
      <x:c r="H569" s="63"/>
      <x:c r="I569" s="61" t="n">
        <x:v>40422.5</x:v>
      </x:c>
      <x:c r="J569" s="64" t="n">
        <x:f>IF(OR(I569="",X569=""),"",IFERROR(DATEDIF(I569,X569,"m")/12,""))</x:f>
        <x:v>15.916666666666666</x:v>
      </x:c>
      <x:c r="K569" s="60" t="str">
        <x:v>FLAT 10, 13 NEVERN SQUARE, LONDON, SW5 9NW</x:v>
      </x:c>
      <x:c r="L569" s="60" t="str">
        <x:v> SW5 9NW</x:v>
      </x:c>
      <x:c r="M569" s="60"/>
      <x:c r="N569" s="60" t="str">
        <x:v>SW5 9NW</x:v>
      </x:c>
      <x:c r="O569" s="61"/>
      <x:c r="P569" s="64" t="str">
        <x:f>IF(OR(O569="",I569=""),"",IFERROR(DATEDIF(O569,I569,"m")/12,""))</x:f>
      </x:c>
      <x:c r="Q569" s="60"/>
      <x:c r="R569" s="61"/>
      <x:c r="S569" s="64" t="str">
        <x:f>IF(OR(R569="",X569=""),"",IFERROR(DATEDIF(R569,X569,"m")/12,""))</x:f>
      </x:c>
      <x:c r="T569" s="60"/>
      <x:c r="U569" s="60"/>
      <x:c r="V569" s="60"/>
      <x:c r="W569" s="63"/>
      <x:c r="X569" s="65" t="n">
        <x:f>TODAY()</x:f>
        <x:v>46250</x:v>
      </x:c>
    </x:row>
    <x:row r="570">
      <x:c r="A570" s="59" t="str">
        <x:v>PEARCE</x:v>
      </x:c>
      <x:c r="B570" s="60" t="str">
        <x:v>LOREN</x:v>
      </x:c>
      <x:c r="C570" s="60" t="str">
        <x:v>Aimee</x:v>
      </x:c>
      <x:c r="D570" s="61" t="n">
        <x:v>34891.5</x:v>
      </x:c>
      <x:c r="E570" s="62" t="n">
        <x:f>IF(OR(D570="",X570=""),"",IFERROR(DATEDIF(D570,X570,"y"),""))</x:f>
        <x:v>31</x:v>
      </x:c>
      <x:c r="F570" s="60" t="str">
        <x:v>PEARCE</x:v>
      </x:c>
      <x:c r="G570" s="63"/>
      <x:c r="H570" s="63"/>
      <x:c r="I570" s="61"/>
      <x:c r="J570" s="64" t="str">
        <x:f>IF(OR(I570="",X570=""),"",IFERROR(DATEDIF(I570,X570,"m")/12,""))</x:f>
      </x:c>
      <x:c r="K570" s="60"/>
      <x:c r="L570" s="60"/>
      <x:c r="M570" s="60"/>
      <x:c r="N570" s="60"/>
      <x:c r="O570" s="61"/>
      <x:c r="P570" s="64" t="str">
        <x:f>IF(OR(O570="",I570=""),"",IFERROR(DATEDIF(O570,I570,"m")/12,""))</x:f>
      </x:c>
      <x:c r="Q570" s="60"/>
      <x:c r="R570" s="61"/>
      <x:c r="S570" s="64" t="str">
        <x:f>IF(OR(R570="",X570=""),"",IFERROR(DATEDIF(R570,X570,"m")/12,""))</x:f>
      </x:c>
      <x:c r="T570" s="60"/>
      <x:c r="U570" s="60"/>
      <x:c r="V570" s="60"/>
      <x:c r="W570" s="63"/>
      <x:c r="X570" s="65" t="n">
        <x:f>TODAY()</x:f>
        <x:v>46250</x:v>
      </x:c>
    </x:row>
    <x:row r="571">
      <x:c r="A571" s="59" t="str">
        <x:v>PEDOTE</x:v>
      </x:c>
      <x:c r="B571" s="60" t="str">
        <x:v>VITO</x:v>
      </x:c>
      <x:c r="C571" s="60"/>
      <x:c r="D571" s="61" t="n">
        <x:v>31956.5</x:v>
      </x:c>
      <x:c r="E571" s="62" t="n">
        <x:f>IF(OR(D571="",X571=""),"",IFERROR(DATEDIF(D571,X571,"y"),""))</x:f>
        <x:v>39</x:v>
      </x:c>
      <x:c r="F571" s="60" t="str">
        <x:v>RUSSO</x:v>
      </x:c>
      <x:c r="G571" s="63"/>
      <x:c r="H571" s="63"/>
      <x:c r="I571" s="61" t="n">
        <x:v>43709.5</x:v>
      </x:c>
      <x:c r="J571" s="64" t="n">
        <x:f>IF(OR(I571="",X571=""),"",IFERROR(DATEDIF(I571,X571,"m")/12,""))</x:f>
        <x:v>6.916666666666667</x:v>
      </x:c>
      <x:c r="K571" s="60" t="str">
        <x:v>FLAT 2, 332 NORTH END ROAD, LONDON, SW6 1NF</x:v>
      </x:c>
      <x:c r="L571" s="60" t="str">
        <x:v> SW6 1NF</x:v>
      </x:c>
      <x:c r="M571" s="60"/>
      <x:c r="N571" s="60" t="str">
        <x:v>SW6 1NF</x:v>
      </x:c>
      <x:c r="O571" s="61" t="n">
        <x:v>42614.5</x:v>
      </x:c>
      <x:c r="P571" s="64" t="n">
        <x:f>IF(OR(O571="",I571=""),"",IFERROR(DATEDIF(O571,I571,"m")/12,""))</x:f>
        <x:v>3</x:v>
      </x:c>
      <x:c r="Q571" s="60" t="str">
        <x:v>187 EARLS COURT ROAD LONDON, SW5 9AN</x:v>
      </x:c>
      <x:c r="R571" s="61"/>
      <x:c r="S571" s="64" t="str">
        <x:f>IF(OR(R571="",X571=""),"",IFERROR(DATEDIF(R571,X571,"m")/12,""))</x:f>
      </x:c>
      <x:c r="T571" s="60"/>
      <x:c r="U571" s="60"/>
      <x:c r="V571" s="60"/>
      <x:c r="W571" s="63"/>
      <x:c r="X571" s="65" t="n">
        <x:f>TODAY()</x:f>
        <x:v>46250</x:v>
      </x:c>
    </x:row>
    <x:row r="572">
      <x:c r="A572" s="59" t="str">
        <x:v>PELLISSIER</x:v>
      </x:c>
      <x:c r="B572" s="60" t="str">
        <x:v>JEAN PIERRE</x:v>
      </x:c>
      <x:c r="C572" s="60"/>
      <x:c r="D572" s="61" t="n">
        <x:v>31800.5</x:v>
      </x:c>
      <x:c r="E572" s="62" t="n">
        <x:f>IF(OR(D572="",X572=""),"",IFERROR(DATEDIF(D572,X572,"y"),""))</x:f>
        <x:v>39</x:v>
      </x:c>
      <x:c r="F572" s="60"/>
      <x:c r="G572" s="63"/>
      <x:c r="H572" s="63"/>
      <x:c r="I572" s="61"/>
      <x:c r="J572" s="64" t="str">
        <x:f>IF(OR(I572="",X572=""),"",IFERROR(DATEDIF(I572,X572,"m")/12,""))</x:f>
      </x:c>
      <x:c r="K572" s="60" t="str">
        <x:v>23A WESTBOURNE TERRACE, LONDON, W2 6NF</x:v>
      </x:c>
      <x:c r="L572" s="60" t="str">
        <x:v> W2 6NF</x:v>
      </x:c>
      <x:c r="M572" s="60"/>
      <x:c r="N572" s="60" t="str">
        <x:v>W2 6NF</x:v>
      </x:c>
      <x:c r="O572" s="61"/>
      <x:c r="P572" s="64" t="str">
        <x:f>IF(OR(O572="",I572=""),"",IFERROR(DATEDIF(O572,I572,"m")/12,""))</x:f>
      </x:c>
      <x:c r="Q572" s="60"/>
      <x:c r="R572" s="61" t="n">
        <x:v>41275.5</x:v>
      </x:c>
      <x:c r="S572" s="64" t="n">
        <x:f>IF(OR(R572="",X572=""),"",IFERROR(DATEDIF(R572,X572,"m")/12,""))</x:f>
        <x:v>13.583333333333334</x:v>
      </x:c>
      <x:c r="T572" s="60" t="str">
        <x:v>DIRECTOR EMEA</x:v>
      </x:c>
      <x:c r="U572" s="60" t="str">
        <x:v>MRI SOFTWARE</x:v>
      </x:c>
      <x:c r="V572" s="60" t="str">
        <x:v>9 KING ST, LONDON, LONDON EC2V 8EA,</x:v>
      </x:c>
      <x:c r="W572" s="63"/>
      <x:c r="X572" s="65" t="n">
        <x:f>TODAY()</x:f>
        <x:v>46250</x:v>
      </x:c>
    </x:row>
    <x:row r="573">
      <x:c r="A573" s="59" t="str">
        <x:v>PELLISSIER</x:v>
      </x:c>
      <x:c r="B573" s="60" t="str">
        <x:v>ROXANNE</x:v>
      </x:c>
      <x:c r="C573" s="60" t="str">
        <x:v>CHERIE</x:v>
      </x:c>
      <x:c r="D573" s="61" t="n">
        <x:v>32492.5</x:v>
      </x:c>
      <x:c r="E573" s="62" t="n">
        <x:f>IF(OR(D573="",X573=""),"",IFERROR(DATEDIF(D573,X573,"y"),""))</x:f>
        <x:v>37</x:v>
      </x:c>
      <x:c r="F573" s="60" t="str">
        <x:v>THORLEY</x:v>
      </x:c>
      <x:c r="G573" s="63"/>
      <x:c r="H573" s="63"/>
      <x:c r="I573" s="61"/>
      <x:c r="J573" s="64" t="str">
        <x:f>IF(OR(I573="",X573=""),"",IFERROR(DATEDIF(I573,X573,"m")/12,""))</x:f>
      </x:c>
      <x:c r="K573" s="60" t="str">
        <x:v>23A WESTBOURNE TERRACE, LONDON, W2 6NF</x:v>
      </x:c>
      <x:c r="L573" s="60" t="str">
        <x:v> W2 6NF</x:v>
      </x:c>
      <x:c r="M573" s="60"/>
      <x:c r="N573" s="60" t="str">
        <x:v>W2 6NF</x:v>
      </x:c>
      <x:c r="O573" s="61"/>
      <x:c r="P573" s="64" t="str">
        <x:f>IF(OR(O573="",I573=""),"",IFERROR(DATEDIF(O573,I573,"m")/12,""))</x:f>
      </x:c>
      <x:c r="Q573" s="60"/>
      <x:c r="R573" s="61"/>
      <x:c r="S573" s="64" t="str">
        <x:f>IF(OR(R573="",X573=""),"",IFERROR(DATEDIF(R573,X573,"m")/12,""))</x:f>
      </x:c>
      <x:c r="T573" s="60" t="str">
        <x:v>DIRECTOR</x:v>
      </x:c>
      <x:c r="U573" s="60" t="str">
        <x:v>DELOITTE UK</x:v>
      </x:c>
      <x:c r="V573" s="60" t="str">
        <x:v>1 NEW ST SQUARE, LONDON EC4A 3HQ</x:v>
      </x:c>
      <x:c r="W573" s="63"/>
      <x:c r="X573" s="65" t="n">
        <x:f>TODAY()</x:f>
        <x:v>46250</x:v>
      </x:c>
    </x:row>
    <x:row r="574">
      <x:c r="A574" s="59" t="str">
        <x:v>PENNA</x:v>
      </x:c>
      <x:c r="B574" s="60" t="str">
        <x:v>DANTE</x:v>
      </x:c>
      <x:c r="C574" s="60" t="str">
        <x:v>MURIIWA JORDAN</x:v>
      </x:c>
      <x:c r="D574" s="61" t="n">
        <x:v>37327.5</x:v>
      </x:c>
      <x:c r="E574" s="62" t="n">
        <x:f>IF(OR(D574="",X574=""),"",IFERROR(DATEDIF(D574,X574,"y"),""))</x:f>
        <x:v>24</x:v>
      </x:c>
      <x:c r="F574" s="60"/>
      <x:c r="G574" s="63"/>
      <x:c r="H574" s="63"/>
      <x:c r="I574" s="61"/>
      <x:c r="J574" s="64" t="str">
        <x:f>IF(OR(I574="",X574=""),"",IFERROR(DATEDIF(I574,X574,"m")/12,""))</x:f>
      </x:c>
      <x:c r="K574" s="60" t="str">
        <x:v>2 TAVISTOCK PLACE, APARTMENT 8, LONDON, WC1H 9RA</x:v>
      </x:c>
      <x:c r="L574" s="60" t="str">
        <x:v> WC1H 9RA</x:v>
      </x:c>
      <x:c r="M574" s="60"/>
      <x:c r="N574" s="60" t="str">
        <x:v>WC1H 9RA</x:v>
      </x:c>
      <x:c r="O574" s="61"/>
      <x:c r="P574" s="64" t="str">
        <x:f>IF(OR(O574="",I574=""),"",IFERROR(DATEDIF(O574,I574,"m")/12,""))</x:f>
      </x:c>
      <x:c r="Q574" s="60"/>
      <x:c r="R574" s="61"/>
      <x:c r="S574" s="64" t="str">
        <x:f>IF(OR(R574="",X574=""),"",IFERROR(DATEDIF(R574,X574,"m")/12,""))</x:f>
      </x:c>
      <x:c r="T574" s="60"/>
      <x:c r="U574" s="60"/>
      <x:c r="V574" s="60"/>
      <x:c r="W574" s="63"/>
      <x:c r="X574" s="65" t="n">
        <x:f>TODAY()</x:f>
        <x:v>46250</x:v>
      </x:c>
    </x:row>
    <x:row r="575">
      <x:c r="A575" s="59" t="str">
        <x:v>PENNA</x:v>
      </x:c>
      <x:c r="B575" s="60" t="str">
        <x:v>DANTE</x:v>
      </x:c>
      <x:c r="C575" s="60"/>
      <x:c r="D575" s="61" t="n">
        <x:v>36445.5</x:v>
      </x:c>
      <x:c r="E575" s="62" t="n">
        <x:f>IF(OR(D575="",X575=""),"",IFERROR(DATEDIF(D575,X575,"y"),""))</x:f>
        <x:v>26</x:v>
      </x:c>
      <x:c r="F575" s="60"/>
      <x:c r="G575" s="63"/>
      <x:c r="H575" s="63"/>
      <x:c r="I575" s="61"/>
      <x:c r="J575" s="64" t="str">
        <x:f>IF(OR(I575="",X575=""),"",IFERROR(DATEDIF(I575,X575,"m")/12,""))</x:f>
      </x:c>
      <x:c r="K575" s="60" t="str">
        <x:v>2 TAVISTOCK PLACE, APARTMENT 8, LONDON, WC1H 9RA</x:v>
      </x:c>
      <x:c r="L575" s="60" t="str">
        <x:v> WC1H 9RA</x:v>
      </x:c>
      <x:c r="M575" s="60"/>
      <x:c r="N575" s="60" t="str">
        <x:v>WC1H 9RA</x:v>
      </x:c>
      <x:c r="O575" s="61"/>
      <x:c r="P575" s="64" t="str">
        <x:f>IF(OR(O575="",I575=""),"",IFERROR(DATEDIF(O575,I575,"m")/12,""))</x:f>
      </x:c>
      <x:c r="Q575" s="60"/>
      <x:c r="R575" s="61"/>
      <x:c r="S575" s="64" t="str">
        <x:f>IF(OR(R575="",X575=""),"",IFERROR(DATEDIF(R575,X575,"m")/12,""))</x:f>
      </x:c>
      <x:c r="T575" s="60"/>
      <x:c r="U575" s="60"/>
      <x:c r="V575" s="60"/>
      <x:c r="W575" s="63"/>
      <x:c r="X575" s="65" t="n">
        <x:f>TODAY()</x:f>
        <x:v>46250</x:v>
      </x:c>
    </x:row>
    <x:row r="576">
      <x:c r="A576" s="59" t="str">
        <x:v>PENNA</x:v>
      </x:c>
      <x:c r="B576" s="60" t="str">
        <x:v>VICTOR</x:v>
      </x:c>
      <x:c r="C576" s="60"/>
      <x:c r="D576" s="61" t="n">
        <x:v>23210.5</x:v>
      </x:c>
      <x:c r="E576" s="62" t="n">
        <x:f>IF(OR(D576="",X576=""),"",IFERROR(DATEDIF(D576,X576,"y"),""))</x:f>
        <x:v>63</x:v>
      </x:c>
      <x:c r="F576" s="60"/>
      <x:c r="G576" s="63"/>
      <x:c r="H576" s="63"/>
      <x:c r="I576" s="61"/>
      <x:c r="J576" s="64" t="str">
        <x:f>IF(OR(I576="",X576=""),"",IFERROR(DATEDIF(I576,X576,"m")/12,""))</x:f>
      </x:c>
      <x:c r="K576" s="60" t="str">
        <x:v>2 TAVISTOCK PLACE, APARTMENT 8, LONDON, WC1H 9RA</x:v>
      </x:c>
      <x:c r="L576" s="60" t="str">
        <x:v> WC1H 9RA</x:v>
      </x:c>
      <x:c r="M576" s="60"/>
      <x:c r="N576" s="60" t="str">
        <x:v>WC1H 9RA</x:v>
      </x:c>
      <x:c r="O576" s="61"/>
      <x:c r="P576" s="64" t="str">
        <x:f>IF(OR(O576="",I576=""),"",IFERROR(DATEDIF(O576,I576,"m")/12,""))</x:f>
      </x:c>
      <x:c r="Q576" s="60"/>
      <x:c r="R576" s="61"/>
      <x:c r="S576" s="64" t="str">
        <x:f>IF(OR(R576="",X576=""),"",IFERROR(DATEDIF(R576,X576,"m")/12,""))</x:f>
      </x:c>
      <x:c r="T576" s="60"/>
      <x:c r="U576" s="60"/>
      <x:c r="V576" s="60"/>
      <x:c r="W576" s="63"/>
      <x:c r="X576" s="65" t="n">
        <x:f>TODAY()</x:f>
        <x:v>46250</x:v>
      </x:c>
    </x:row>
    <x:row r="577">
      <x:c r="A577" s="59" t="str">
        <x:v>PESCHKOFF</x:v>
      </x:c>
      <x:c r="B577" s="60" t="str">
        <x:v>ALEXANDER</x:v>
      </x:c>
      <x:c r="C577" s="60"/>
      <x:c r="D577" s="61" t="n">
        <x:v>24656.5</x:v>
      </x:c>
      <x:c r="E577" s="62" t="n">
        <x:f>IF(OR(D577="",X577=""),"",IFERROR(DATEDIF(D577,X577,"y"),""))</x:f>
        <x:v>59</x:v>
      </x:c>
      <x:c r="F577" s="60"/>
      <x:c r="G577" s="63"/>
      <x:c r="H577" s="63"/>
      <x:c r="I577" s="61" t="n">
        <x:v>39264.5</x:v>
      </x:c>
      <x:c r="J577" s="64" t="n">
        <x:f>IF(OR(I577="",X577=""),"",IFERROR(DATEDIF(I577,X577,"m")/12,""))</x:f>
        <x:v>19.083333333333332</x:v>
      </x:c>
      <x:c r="K577" s="60" t="str">
        <x:v>FLAT H, 47 QUEENS GATE, LONDON, SW7 5JN</x:v>
      </x:c>
      <x:c r="L577" s="60" t="str">
        <x:v> SW7 5JN</x:v>
      </x:c>
      <x:c r="M577" s="60"/>
      <x:c r="N577" s="60" t="str">
        <x:v>SW7 5JN</x:v>
      </x:c>
      <x:c r="O577" s="61"/>
      <x:c r="P577" s="64" t="str">
        <x:f>IF(OR(O577="",I577=""),"",IFERROR(DATEDIF(O577,I577,"m")/12,""))</x:f>
      </x:c>
      <x:c r="Q577" s="60"/>
      <x:c r="R577" s="61" t="n">
        <x:v>39814.5</x:v>
      </x:c>
      <x:c r="S577" s="64" t="n">
        <x:f>IF(OR(R577="",X577=""),"",IFERROR(DATEDIF(R577,X577,"m")/12,""))</x:f>
        <x:v>17.583333333333332</x:v>
      </x:c>
      <x:c r="T577" s="60" t="str">
        <x:v>CHIEF EXECUTIVE OFFICER</x:v>
      </x:c>
      <x:c r="U577" s="60" t="str">
        <x:v>MULTIPASS PLATFORMS LIMITED</x:v>
      </x:c>
      <x:c r="V577" s="60" t="str">
        <x:v>87-89 BAKER STREET, LONDON, UK, W1U 6RJ</x:v>
      </x:c>
      <x:c r="W577" s="63" t="str">
        <x:v>0203 519 1373</x:v>
      </x:c>
      <x:c r="X577" s="65" t="n">
        <x:f>TODAY()</x:f>
        <x:v>46250</x:v>
      </x:c>
    </x:row>
    <x:row r="578">
      <x:c r="A578" s="59" t="str">
        <x:v>PESCHKOFF</x:v>
      </x:c>
      <x:c r="B578" s="60" t="str">
        <x:v>JULIA</x:v>
      </x:c>
      <x:c r="C578" s="60"/>
      <x:c r="D578" s="61" t="n">
        <x:v>27060.5</x:v>
      </x:c>
      <x:c r="E578" s="62" t="n">
        <x:f>IF(OR(D578="",X578=""),"",IFERROR(DATEDIF(D578,X578,"y"),""))</x:f>
        <x:v>52</x:v>
      </x:c>
      <x:c r="F578" s="60" t="str">
        <x:v>FREIMANE</x:v>
      </x:c>
      <x:c r="G578" s="63" t="str">
        <x:v>07887214339</x:v>
      </x:c>
      <x:c r="H578" s="63"/>
      <x:c r="I578" s="61" t="n">
        <x:v>37803.5</x:v>
      </x:c>
      <x:c r="J578" s="64" t="n">
        <x:f>IF(OR(I578="",X578=""),"",IFERROR(DATEDIF(I578,X578,"m")/12,""))</x:f>
        <x:v>23.083333333333332</x:v>
      </x:c>
      <x:c r="K578" s="60" t="str">
        <x:v>FLAT H, 47 QUEENS GATE, LONDON, SW7 5JN</x:v>
      </x:c>
      <x:c r="L578" s="60" t="str">
        <x:v> SW7 5JN</x:v>
      </x:c>
      <x:c r="M578" s="60"/>
      <x:c r="N578" s="60" t="str">
        <x:v>SW7 5JN</x:v>
      </x:c>
      <x:c r="O578" s="61"/>
      <x:c r="P578" s="64" t="str">
        <x:f>IF(OR(O578="",I578=""),"",IFERROR(DATEDIF(O578,I578,"m")/12,""))</x:f>
      </x:c>
      <x:c r="Q578" s="60"/>
      <x:c r="R578" s="61" t="n">
        <x:v>37834.5</x:v>
      </x:c>
      <x:c r="S578" s="64" t="n">
        <x:f>IF(OR(R578="",X578=""),"",IFERROR(DATEDIF(R578,X578,"m")/12,""))</x:f>
        <x:v>23</x:v>
      </x:c>
      <x:c r="T578" s="60" t="str">
        <x:v>COMPANY OWNER</x:v>
      </x:c>
      <x:c r="U578" s="60" t="str">
        <x:v>J &amp; G EQUIPMENT LIMITED</x:v>
      </x:c>
      <x:c r="V578" s="60" t="str">
        <x:v>FLAT H, 47 QUEENS GATE, LONDON, SW7 5JN</x:v>
      </x:c>
      <x:c r="W578" s="63"/>
      <x:c r="X578" s="65" t="n">
        <x:f>TODAY()</x:f>
        <x:v>46250</x:v>
      </x:c>
    </x:row>
    <x:row r="579">
      <x:c r="A579" s="59" t="str">
        <x:v>PETER</x:v>
      </x:c>
      <x:c r="B579" s="60" t="str">
        <x:v>WILEY</x:v>
      </x:c>
      <x:c r="C579" s="60" t="str">
        <x:v>ALEXANDER</x:v>
      </x:c>
      <x:c r="D579" s="61" t="n">
        <x:v>33354.5</x:v>
      </x:c>
      <x:c r="E579" s="62" t="n">
        <x:f>IF(OR(D579="",X579=""),"",IFERROR(DATEDIF(D579,X579,"y"),""))</x:f>
        <x:v>35</x:v>
      </x:c>
      <x:c r="F579" s="60" t="str">
        <x:v>RIGBY</x:v>
      </x:c>
      <x:c r="G579" s="63"/>
      <x:c r="H579" s="63"/>
      <x:c r="I579" s="61" t="n">
        <x:v>43952.5</x:v>
      </x:c>
      <x:c r="J579" s="64" t="n">
        <x:f>IF(OR(I579="",X579=""),"",IFERROR(DATEDIF(I579,X579,"m")/12,""))</x:f>
        <x:v>6.25</x:v>
      </x:c>
      <x:c r="K579" s="60" t="str">
        <x:v>7B CAVENDISH ROAD, LONDON, NW6 7XT</x:v>
      </x:c>
      <x:c r="L579" s="60" t="str">
        <x:v> NW6 7XT</x:v>
      </x:c>
      <x:c r="M579" s="60"/>
      <x:c r="N579" s="60" t="str">
        <x:v>NW6 7XT</x:v>
      </x:c>
      <x:c r="O579" s="61"/>
      <x:c r="P579" s="64" t="str">
        <x:f>IF(OR(O579="",I579=""),"",IFERROR(DATEDIF(O579,I579,"m")/12,""))</x:f>
      </x:c>
      <x:c r="Q579" s="60"/>
      <x:c r="R579" s="61"/>
      <x:c r="S579" s="64" t="str">
        <x:f>IF(OR(R579="",X579=""),"",IFERROR(DATEDIF(R579,X579,"m")/12,""))</x:f>
      </x:c>
      <x:c r="T579" s="60"/>
      <x:c r="U579" s="60"/>
      <x:c r="V579" s="60"/>
      <x:c r="W579" s="63"/>
      <x:c r="X579" s="65" t="n">
        <x:f>TODAY()</x:f>
        <x:v>46250</x:v>
      </x:c>
    </x:row>
    <x:row r="580">
      <x:c r="A580" s="59" t="str">
        <x:v>PHAN</x:v>
      </x:c>
      <x:c r="B580" s="60" t="str">
        <x:v>NICHOLAS</x:v>
      </x:c>
      <x:c r="C580" s="60" t="str">
        <x:v>LOCKE SUNG</x:v>
      </x:c>
      <x:c r="D580" s="61" t="n">
        <x:v>32523.5</x:v>
      </x:c>
      <x:c r="E580" s="62" t="n">
        <x:f>IF(OR(D580="",X580=""),"",IFERROR(DATEDIF(D580,X580,"y"),""))</x:f>
        <x:v>37</x:v>
      </x:c>
      <x:c r="F580" s="60"/>
      <x:c r="G580" s="63" t="str">
        <x:v>.</x:v>
      </x:c>
      <x:c r="H580" s="63"/>
      <x:c r="I580" s="61" t="n">
        <x:v>41760.5</x:v>
      </x:c>
      <x:c r="J580" s="64" t="n">
        <x:f>IF(OR(I580="",X580=""),"",IFERROR(DATEDIF(I580,X580,"m")/12,""))</x:f>
        <x:v>12.25</x:v>
      </x:c>
      <x:c r="K580" s="60" t="str">
        <x:v>FLAT 2, 52 QUEEN'S GATE GARDENS, LONDON, SW75NF</x:v>
      </x:c>
      <x:c r="L580" s="60" t="str">
        <x:v> SW75NF</x:v>
      </x:c>
      <x:c r="M580" s="60"/>
      <x:c r="N580" s="60" t="str">
        <x:v>SW75NF</x:v>
      </x:c>
      <x:c r="O580" s="61"/>
      <x:c r="P580" s="64" t="str">
        <x:f>IF(OR(O580="",I580=""),"",IFERROR(DATEDIF(O580,I580,"m")/12,""))</x:f>
      </x:c>
      <x:c r="Q580" s="60"/>
      <x:c r="R580" s="61"/>
      <x:c r="S580" s="64" t="str">
        <x:f>IF(OR(R580="",X580=""),"",IFERROR(DATEDIF(R580,X580,"m")/12,""))</x:f>
      </x:c>
      <x:c r="T580" s="60"/>
      <x:c r="U580" s="60"/>
      <x:c r="V580" s="60"/>
      <x:c r="W580" s="63"/>
      <x:c r="X580" s="65" t="n">
        <x:f>TODAY()</x:f>
        <x:v>46250</x:v>
      </x:c>
    </x:row>
    <x:row r="581">
      <x:c r="A581" s="59" t="str">
        <x:v>PHELAN</x:v>
      </x:c>
      <x:c r="B581" s="60" t="str">
        <x:v>NANCY</x:v>
      </x:c>
      <x:c r="C581" s="60" t="str">
        <x:v>LOUISE</x:v>
      </x:c>
      <x:c r="D581" s="61" t="n">
        <x:v>16217.5</x:v>
      </x:c>
      <x:c r="E581" s="62" t="n">
        <x:f>IF(OR(D581="",X581=""),"",IFERROR(DATEDIF(D581,X581,"y"),""))</x:f>
        <x:v>82</x:v>
      </x:c>
      <x:c r="F581" s="60" t="str">
        <x:v>SNOWDON</x:v>
      </x:c>
      <x:c r="G581" s="63" t="str">
        <x:v>07900752311</x:v>
      </x:c>
      <x:c r="H581" s="63"/>
      <x:c r="I581" s="61"/>
      <x:c r="J581" s="64" t="str">
        <x:f>IF(OR(I581="",X581=""),"",IFERROR(DATEDIF(I581,X581,"m")/12,""))</x:f>
      </x:c>
      <x:c r="K581" s="60" t="str">
        <x:v>GROUND FLOOR FLAT, 79-81 WESTBOURNE TERRACE, W2 6QS</x:v>
      </x:c>
      <x:c r="L581" s="60"/>
      <x:c r="M581" s="60"/>
      <x:c r="N581" s="60"/>
      <x:c r="O581" s="61"/>
      <x:c r="P581" s="64" t="str">
        <x:f>IF(OR(O581="",I581=""),"",IFERROR(DATEDIF(O581,I581,"m")/12,""))</x:f>
      </x:c>
      <x:c r="Q581" s="60"/>
      <x:c r="R581" s="61"/>
      <x:c r="S581" s="64" t="str">
        <x:f>IF(OR(R581="",X581=""),"",IFERROR(DATEDIF(R581,X581,"m")/12,""))</x:f>
      </x:c>
      <x:c r="T581" s="60"/>
      <x:c r="U581" s="60"/>
      <x:c r="V581" s="60"/>
      <x:c r="W581" s="63"/>
      <x:c r="X581" s="65" t="n">
        <x:f>TODAY()</x:f>
        <x:v>46250</x:v>
      </x:c>
    </x:row>
    <x:row r="582">
      <x:c r="A582" s="59" t="str">
        <x:v>PINSON</x:v>
      </x:c>
      <x:c r="B582" s="60" t="str">
        <x:v>MATHIEU</x:v>
      </x:c>
      <x:c r="C582" s="60"/>
      <x:c r="D582" s="61" t="n">
        <x:v>29634.5</x:v>
      </x:c>
      <x:c r="E582" s="62" t="n">
        <x:f>IF(OR(D582="",X582=""),"",IFERROR(DATEDIF(D582,X582,"y"),""))</x:f>
        <x:v>45</x:v>
      </x:c>
      <x:c r="F582" s="60"/>
      <x:c r="G582" s="63" t="str">
        <x:v>07917949285</x:v>
      </x:c>
      <x:c r="H582" s="63"/>
      <x:c r="I582" s="61"/>
      <x:c r="J582" s="64" t="str">
        <x:f>IF(OR(I582="",X582=""),"",IFERROR(DATEDIF(I582,X582,"m")/12,""))</x:f>
      </x:c>
      <x:c r="K582" s="60"/>
      <x:c r="L582" s="60"/>
      <x:c r="M582" s="60"/>
      <x:c r="N582" s="60"/>
      <x:c r="O582" s="61"/>
      <x:c r="P582" s="64" t="str">
        <x:f>IF(OR(O582="",I582=""),"",IFERROR(DATEDIF(O582,I582,"m")/12,""))</x:f>
      </x:c>
      <x:c r="Q582" s="60"/>
      <x:c r="R582" s="61"/>
      <x:c r="S582" s="64" t="str">
        <x:f>IF(OR(R582="",X582=""),"",IFERROR(DATEDIF(R582,X582,"m")/12,""))</x:f>
      </x:c>
      <x:c r="T582" s="60"/>
      <x:c r="U582" s="60"/>
      <x:c r="V582" s="60"/>
      <x:c r="W582" s="63"/>
      <x:c r="X582" s="65" t="n">
        <x:f>TODAY()</x:f>
        <x:v>46250</x:v>
      </x:c>
    </x:row>
    <x:row r="583">
      <x:c r="A583" s="59" t="str">
        <x:v>PLUCIENNIK-ROLLMAN</x:v>
      </x:c>
      <x:c r="B583" s="60" t="str">
        <x:v>ANNA</x:v>
      </x:c>
      <x:c r="C583" s="60"/>
      <x:c r="D583" s="61" t="n">
        <x:v>26252.5</x:v>
      </x:c>
      <x:c r="E583" s="62" t="n">
        <x:f>IF(OR(D583="",X583=""),"",IFERROR(DATEDIF(D583,X583,"y"),""))</x:f>
        <x:v>54</x:v>
      </x:c>
      <x:c r="F583" s="60"/>
      <x:c r="G583" s="63"/>
      <x:c r="H583" s="63"/>
      <x:c r="I583" s="61"/>
      <x:c r="J583" s="64" t="str">
        <x:f>IF(OR(I583="",X583=""),"",IFERROR(DATEDIF(I583,X583,"m")/12,""))</x:f>
      </x:c>
      <x:c r="K583" s="60" t="str">
        <x:v>FLAT 4C, 2 CRAVEN HILL GARDENS, LONDON, W2 3ES</x:v>
      </x:c>
      <x:c r="L583" s="60" t="str">
        <x:v> W2 3ES</x:v>
      </x:c>
      <x:c r="M583" s="60"/>
      <x:c r="N583" s="60" t="str">
        <x:v>W2 3ES</x:v>
      </x:c>
      <x:c r="O583" s="61"/>
      <x:c r="P583" s="64" t="str">
        <x:f>IF(OR(O583="",I583=""),"",IFERROR(DATEDIF(O583,I583,"m")/12,""))</x:f>
      </x:c>
      <x:c r="Q583" s="60" t="str">
        <x:v>ROOM 1C, 2, CRAVEN HILL GARDENS, LONDON, LONDON, W2 3ES</x:v>
      </x:c>
      <x:c r="R583" s="61"/>
      <x:c r="S583" s="64" t="str">
        <x:f>IF(OR(R583="",X583=""),"",IFERROR(DATEDIF(R583,X583,"m")/12,""))</x:f>
      </x:c>
      <x:c r="T583" s="60"/>
      <x:c r="U583" s="60"/>
      <x:c r="V583" s="60"/>
      <x:c r="W583" s="63"/>
      <x:c r="X583" s="65" t="n">
        <x:f>TODAY()</x:f>
        <x:v>46250</x:v>
      </x:c>
    </x:row>
    <x:row r="584">
      <x:c r="A584" s="59" t="str">
        <x:v>POPADIC</x:v>
      </x:c>
      <x:c r="B584" s="60" t="str">
        <x:v>DARIO</x:v>
      </x:c>
      <x:c r="C584" s="60"/>
      <x:c r="D584" s="61" t="n">
        <x:v>32205.5</x:v>
      </x:c>
      <x:c r="E584" s="62" t="n">
        <x:f>IF(OR(D584="",X584=""),"",IFERROR(DATEDIF(D584,X584,"y"),""))</x:f>
        <x:v>38</x:v>
      </x:c>
      <x:c r="F584" s="60"/>
      <x:c r="G584" s="63" t="str">
        <x:v>07425181376</x:v>
      </x:c>
      <x:c r="H584" s="63"/>
      <x:c r="I584" s="61" t="n">
        <x:v>44197.5</x:v>
      </x:c>
      <x:c r="J584" s="64" t="n">
        <x:f>IF(OR(I584="",X584=""),"",IFERROR(DATEDIF(I584,X584,"m")/12,""))</x:f>
        <x:v>5.583333333333333</x:v>
      </x:c>
      <x:c r="K584" s="60" t="str">
        <x:v>21, PHILBEACH GARDENS, LONDON, LONDON, SW5 9DY</x:v>
      </x:c>
      <x:c r="L584" s="60" t="str">
        <x:v> LONDON, SW5 9DY</x:v>
      </x:c>
      <x:c r="M584" s="60"/>
      <x:c r="N584" s="60" t="str">
        <x:v> SW5 9DY</x:v>
      </x:c>
      <x:c r="O584" s="61" t="n">
        <x:v>43556.5</x:v>
      </x:c>
      <x:c r="P584" s="64" t="n">
        <x:f>IF(OR(O584="",I584=""),"",IFERROR(DATEDIF(O584,I584,"m")/12,""))</x:f>
        <x:v>1.75</x:v>
      </x:c>
      <x:c r="Q584" s="60" t="str">
        <x:v>FLAT 5, 12 FAIRHOLME ROAD, LONDON, W14 9JX</x:v>
      </x:c>
      <x:c r="R584" s="61"/>
      <x:c r="S584" s="64" t="str">
        <x:f>IF(OR(R584="",X584=""),"",IFERROR(DATEDIF(R584,X584,"m")/12,""))</x:f>
      </x:c>
      <x:c r="T584" s="60"/>
      <x:c r="U584" s="60"/>
      <x:c r="V584" s="60"/>
      <x:c r="W584" s="63"/>
      <x:c r="X584" s="65" t="n">
        <x:f>TODAY()</x:f>
        <x:v>46250</x:v>
      </x:c>
    </x:row>
    <x:row r="585">
      <x:c r="A585" s="59" t="str">
        <x:v>PORTER</x:v>
      </x:c>
      <x:c r="B585" s="60" t="str">
        <x:v>PHILIP</x:v>
      </x:c>
      <x:c r="C585" s="60" t="str">
        <x:v>GERALD</x:v>
      </x:c>
      <x:c r="D585" s="61" t="n">
        <x:v>24109.5</x:v>
      </x:c>
      <x:c r="E585" s="62" t="n">
        <x:f>IF(OR(D585="",X585=""),"",IFERROR(DATEDIF(D585,X585,"y"),""))</x:f>
        <x:v>60</x:v>
      </x:c>
      <x:c r="F585" s="60" t="str">
        <x:v>HARKNETT</x:v>
      </x:c>
      <x:c r="G585" s="63"/>
      <x:c r="H585" s="63"/>
      <x:c r="I585" s="61" t="n">
        <x:v>42948.5</x:v>
      </x:c>
      <x:c r="J585" s="64" t="n">
        <x:f>IF(OR(I585="",X585=""),"",IFERROR(DATEDIF(I585,X585,"m")/12,""))</x:f>
        <x:v>9</x:v>
      </x:c>
      <x:c r="K585" s="60" t="str">
        <x:v>FLAT 1-3 &amp; 5-15, 55-57 GLOUCESTER ROAD, LONDON, SW7 4QN</x:v>
      </x:c>
      <x:c r="L585" s="60" t="str">
        <x:v> SW7 4QN</x:v>
      </x:c>
      <x:c r="M585" s="60"/>
      <x:c r="N585" s="60" t="str">
        <x:v>SW7 4QN</x:v>
      </x:c>
      <x:c r="O585" s="61"/>
      <x:c r="P585" s="64" t="str">
        <x:f>IF(OR(O585="",I585=""),"",IFERROR(DATEDIF(O585,I585,"m")/12,""))</x:f>
      </x:c>
      <x:c r="Q585" s="60"/>
      <x:c r="R585" s="61" t="n">
        <x:v>40940.5</x:v>
      </x:c>
      <x:c r="S585" s="64" t="n">
        <x:f>IF(OR(R585="",X585=""),"",IFERROR(DATEDIF(R585,X585,"m")/12,""))</x:f>
        <x:v>14.5</x:v>
      </x:c>
      <x:c r="T585" s="60" t="str">
        <x:v>THE NEWPORT GROUP</x:v>
      </x:c>
      <x:c r="U585" s="60" t="str">
        <x:v>FOUNDING DIRECTOR</x:v>
      </x:c>
      <x:c r="V585" s="60" t="str">
        <x:v>RICHMOND SUITE, GROSVENOR HOUSE HOTEL, 86-90 PARK LANE, LONDON, W1K 7TN, GB</x:v>
      </x:c>
      <x:c r="W585" s="63"/>
      <x:c r="X585" s="65" t="n">
        <x:f>TODAY()</x:f>
        <x:v>46250</x:v>
      </x:c>
    </x:row>
    <x:row r="586">
      <x:c r="A586" s="59" t="str">
        <x:v>POULTON</x:v>
      </x:c>
      <x:c r="B586" s="60" t="str">
        <x:v>JAMES</x:v>
      </x:c>
      <x:c r="C586" s="60" t="str">
        <x:v>ALEXANDER</x:v>
      </x:c>
      <x:c r="D586" s="61" t="n">
        <x:v>25159.5</x:v>
      </x:c>
      <x:c r="E586" s="62" t="n">
        <x:f>IF(OR(D586="",X586=""),"",IFERROR(DATEDIF(D586,X586,"y"),""))</x:f>
        <x:v>57</x:v>
      </x:c>
      <x:c r="F586" s="60" t="str">
        <x:v>PETRALLI</x:v>
      </x:c>
      <x:c r="G586" s="63"/>
      <x:c r="H586" s="63"/>
      <x:c r="I586" s="61"/>
      <x:c r="J586" s="64" t="str">
        <x:f>IF(OR(I586="",X586=""),"",IFERROR(DATEDIF(I586,X586,"m")/12,""))</x:f>
      </x:c>
      <x:c r="K586" s="60" t="str">
        <x:v>FLAT 3, 13 BREWER STREET, LONDON, W1F 0RH</x:v>
      </x:c>
      <x:c r="L586" s="60" t="str">
        <x:v> W1F 0RH</x:v>
      </x:c>
      <x:c r="M586" s="60"/>
      <x:c r="N586" s="60" t="str">
        <x:v>W1F 0RH</x:v>
      </x:c>
      <x:c r="O586" s="61"/>
      <x:c r="P586" s="64" t="str">
        <x:f>IF(OR(O586="",I586=""),"",IFERROR(DATEDIF(O586,I586,"m")/12,""))</x:f>
      </x:c>
      <x:c r="Q586" s="60"/>
      <x:c r="R586" s="61"/>
      <x:c r="S586" s="64" t="str">
        <x:f>IF(OR(R586="",X586=""),"",IFERROR(DATEDIF(R586,X586,"m")/12,""))</x:f>
      </x:c>
      <x:c r="T586" s="60"/>
      <x:c r="U586" s="60"/>
      <x:c r="V586" s="60"/>
      <x:c r="W586" s="63"/>
      <x:c r="X586" s="65" t="n">
        <x:f>TODAY()</x:f>
        <x:v>46250</x:v>
      </x:c>
    </x:row>
    <x:row r="587">
      <x:c r="A587" s="59" t="str">
        <x:v>POULTON</x:v>
      </x:c>
      <x:c r="B587" s="60" t="str">
        <x:v>NICHOLAS</x:v>
      </x:c>
      <x:c r="C587" s="60" t="str">
        <x:v>JAMES</x:v>
      </x:c>
      <x:c r="D587" s="61" t="n">
        <x:v>29223.5</x:v>
      </x:c>
      <x:c r="E587" s="62" t="n">
        <x:f>IF(OR(D587="",X587=""),"",IFERROR(DATEDIF(D587,X587,"y"),""))</x:f>
        <x:v>46</x:v>
      </x:c>
      <x:c r="F587" s="60" t="str">
        <x:v>POWELL</x:v>
      </x:c>
      <x:c r="G587" s="63" t="str">
        <x:v>07919046992</x:v>
      </x:c>
      <x:c r="H587" s="63" t="str">
        <x:v>JT559760A</x:v>
      </x:c>
      <x:c r="I587" s="61" t="n">
        <x:v>41487.5</x:v>
      </x:c>
      <x:c r="J587" s="64" t="n">
        <x:f>IF(OR(I587="",X587=""),"",IFERROR(DATEDIF(I587,X587,"m")/12,""))</x:f>
        <x:v>13</x:v>
      </x:c>
      <x:c r="K587" s="60" t="str">
        <x:v>FLAT 3, 13 BREWER STREET, LONDON, W1F 0RH</x:v>
      </x:c>
      <x:c r="L587" s="60" t="str">
        <x:v> W1F 0RH</x:v>
      </x:c>
      <x:c r="M587" s="60"/>
      <x:c r="N587" s="60" t="str">
        <x:v>W1F 0RH</x:v>
      </x:c>
      <x:c r="O587" s="61" t="n">
        <x:v>40299.5</x:v>
      </x:c>
      <x:c r="P587" s="64" t="n">
        <x:f>IF(OR(O587="",I587=""),"",IFERROR(DATEDIF(O587,I587,"m")/12,""))</x:f>
        <x:v>3.25</x:v>
      </x:c>
      <x:c r="Q587" s="60" t="str">
        <x:v>227D, GLOUCESTER TERRACE, LONDON, W2 6HX</x:v>
      </x:c>
      <x:c r="R587" s="61"/>
      <x:c r="S587" s="64" t="str">
        <x:f>IF(OR(R587="",X587=""),"",IFERROR(DATEDIF(R587,X587,"m")/12,""))</x:f>
      </x:c>
      <x:c r="T587" s="60"/>
      <x:c r="U587" s="60"/>
      <x:c r="V587" s="60"/>
      <x:c r="W587" s="63"/>
      <x:c r="X587" s="65" t="n">
        <x:f>TODAY()</x:f>
        <x:v>46250</x:v>
      </x:c>
    </x:row>
    <x:row r="588">
      <x:c r="A588" s="59" t="str">
        <x:v>POULTON</x:v>
      </x:c>
      <x:c r="B588" s="60" t="str">
        <x:v>JAMES</x:v>
      </x:c>
      <x:c r="C588" s="60" t="str">
        <x:v>MICHAEL</x:v>
      </x:c>
      <x:c r="D588" s="61" t="n">
        <x:v>30841.5</x:v>
      </x:c>
      <x:c r="E588" s="62" t="n">
        <x:f>IF(OR(D588="",X588=""),"",IFERROR(DATEDIF(D588,X588,"y"),""))</x:f>
        <x:v>42</x:v>
      </x:c>
      <x:c r="F588" s="60" t="str">
        <x:v>POULTON</x:v>
      </x:c>
      <x:c r="G588" s="63" t="str">
        <x:v>07471308446</x:v>
      </x:c>
      <x:c r="H588" s="63"/>
      <x:c r="I588" s="61" t="n">
        <x:v>40756.5</x:v>
      </x:c>
      <x:c r="J588" s="64" t="n">
        <x:f>IF(OR(I588="",X588=""),"",IFERROR(DATEDIF(I588,X588,"m")/12,""))</x:f>
        <x:v>15</x:v>
      </x:c>
      <x:c r="K588" s="60" t="str">
        <x:v>FLAT 1, 13 BREWER STREET, LONDON, W1F 9UE</x:v>
      </x:c>
      <x:c r="L588" s="60" t="str">
        <x:v> W1F 9UE</x:v>
      </x:c>
      <x:c r="M588" s="60"/>
      <x:c r="N588" s="60" t="str">
        <x:v>W1F 9UE</x:v>
      </x:c>
      <x:c r="O588" s="61"/>
      <x:c r="P588" s="64" t="str">
        <x:f>IF(OR(O588="",I588=""),"",IFERROR(DATEDIF(O588,I588,"m")/12,""))</x:f>
      </x:c>
      <x:c r="Q588" s="60"/>
      <x:c r="R588" s="61"/>
      <x:c r="S588" s="64" t="str">
        <x:f>IF(OR(R588="",X588=""),"",IFERROR(DATEDIF(R588,X588,"m")/12,""))</x:f>
      </x:c>
      <x:c r="T588" s="60"/>
      <x:c r="U588" s="60"/>
      <x:c r="V588" s="60"/>
      <x:c r="W588" s="63"/>
      <x:c r="X588" s="65" t="n">
        <x:f>TODAY()</x:f>
        <x:v>46250</x:v>
      </x:c>
    </x:row>
    <x:row r="589">
      <x:c r="A589" s="59" t="str">
        <x:v>PRESKETT WINGFIELD MOBBS</x:v>
      </x:c>
      <x:c r="B589" s="60" t="str">
        <x:v>LOUISA</x:v>
      </x:c>
      <x:c r="C589" s="60"/>
      <x:c r="D589" s="61" t="n">
        <x:v>29380.5</x:v>
      </x:c>
      <x:c r="E589" s="62" t="n">
        <x:f>IF(OR(D589="",X589=""),"",IFERROR(DATEDIF(D589,X589,"y"),""))</x:f>
        <x:v>46</x:v>
      </x:c>
      <x:c r="F589" s="60" t="str">
        <x:v>EDMUNDS</x:v>
      </x:c>
      <x:c r="G589" s="63"/>
      <x:c r="H589" s="63"/>
      <x:c r="I589" s="61"/>
      <x:c r="J589" s="64" t="str">
        <x:f>IF(OR(I589="",X589=""),"",IFERROR(DATEDIF(I589,X589,"m")/12,""))</x:f>
      </x:c>
      <x:c r="K589" s="60"/>
      <x:c r="L589" s="60"/>
      <x:c r="M589" s="60"/>
      <x:c r="N589" s="60"/>
      <x:c r="O589" s="61"/>
      <x:c r="P589" s="64" t="str">
        <x:f>IF(OR(O589="",I589=""),"",IFERROR(DATEDIF(O589,I589,"m")/12,""))</x:f>
      </x:c>
      <x:c r="Q589" s="60"/>
      <x:c r="R589" s="61"/>
      <x:c r="S589" s="64" t="str">
        <x:f>IF(OR(R589="",X589=""),"",IFERROR(DATEDIF(R589,X589,"m")/12,""))</x:f>
      </x:c>
      <x:c r="T589" s="60"/>
      <x:c r="U589" s="60" t="str">
        <x:v>MAISON MARGAUX LTD</x:v>
      </x:c>
      <x:c r="V589" s="60" t="str">
        <x:v>STUDIO 4, 92 LOTS ROAD, SW10 0QD</x:v>
      </x:c>
      <x:c r="W589" s="63"/>
      <x:c r="X589" s="65" t="n">
        <x:f>TODAY()</x:f>
        <x:v>46250</x:v>
      </x:c>
    </x:row>
    <x:row r="590">
      <x:c r="A590" s="59" t="str">
        <x:v>PRESTON</x:v>
      </x:c>
      <x:c r="B590" s="60" t="str">
        <x:v>IAN</x:v>
      </x:c>
      <x:c r="C590" s="60"/>
      <x:c r="D590" s="61" t="n">
        <x:v>29643.5</x:v>
      </x:c>
      <x:c r="E590" s="62" t="n">
        <x:f>IF(OR(D590="",X590=""),"",IFERROR(DATEDIF(D590,X590,"y"),""))</x:f>
        <x:v>45</x:v>
      </x:c>
      <x:c r="F590" s="60"/>
      <x:c r="G590" s="63"/>
      <x:c r="H590" s="63"/>
      <x:c r="I590" s="61"/>
      <x:c r="J590" s="64" t="str">
        <x:f>IF(OR(I590="",X590=""),"",IFERROR(DATEDIF(I590,X590,"m")/12,""))</x:f>
      </x:c>
      <x:c r="K590" s="60" t="str">
        <x:v>FLAT 7, 302A OLD BROMPTON ROAD, LONDON, SW5 9JF</x:v>
      </x:c>
      <x:c r="L590" s="60" t="str">
        <x:v> SW5 9JF</x:v>
      </x:c>
      <x:c r="M590" s="60"/>
      <x:c r="N590" s="60" t="str">
        <x:v>SW5 9JF</x:v>
      </x:c>
      <x:c r="O590" s="61"/>
      <x:c r="P590" s="64" t="str">
        <x:f>IF(OR(O590="",I590=""),"",IFERROR(DATEDIF(O590,I590,"m")/12,""))</x:f>
      </x:c>
      <x:c r="Q590" s="60"/>
      <x:c r="R590" s="61" t="n">
        <x:v>42979.5</x:v>
      </x:c>
      <x:c r="S590" s="64" t="n">
        <x:f>IF(OR(R590="",X590=""),"",IFERROR(DATEDIF(R590,X590,"m")/12,""))</x:f>
        <x:v>8.916666666666666</x:v>
      </x:c>
      <x:c r="T590" s="60" t="str">
        <x:v>MANAGER</x:v>
      </x:c>
      <x:c r="U590" s="60" t="str">
        <x:v>BLUEBAY ASSET MANAGEMENT</x:v>
      </x:c>
      <x:c r="V590" s="60" t="str">
        <x:v>77 GROSVENOR STREET, LONDON, W1K 3JR</x:v>
      </x:c>
      <x:c r="W590" s="63" t="str">
        <x:v>020 7389 3700</x:v>
      </x:c>
      <x:c r="X590" s="65" t="n">
        <x:f>TODAY()</x:f>
        <x:v>46250</x:v>
      </x:c>
    </x:row>
    <x:row r="591">
      <x:c r="A591" s="59" t="str">
        <x:v>PROCTOR</x:v>
      </x:c>
      <x:c r="B591" s="60" t="str">
        <x:v>CLARE</x:v>
      </x:c>
      <x:c r="C591" s="60" t="str">
        <x:v>JOANNE</x:v>
      </x:c>
      <x:c r="D591" s="61" t="n">
        <x:v>33789.5</x:v>
      </x:c>
      <x:c r="E591" s="62" t="n">
        <x:f>IF(OR(D591="",X591=""),"",IFERROR(DATEDIF(D591,X591,"y"),""))</x:f>
        <x:v>34</x:v>
      </x:c>
      <x:c r="F591" s="60" t="str">
        <x:v>CANNON</x:v>
      </x:c>
      <x:c r="G591" s="63"/>
      <x:c r="H591" s="63"/>
      <x:c r="I591" s="61" t="n">
        <x:v>43556.5</x:v>
      </x:c>
      <x:c r="J591" s="64" t="n">
        <x:f>IF(OR(I591="",X591=""),"",IFERROR(DATEDIF(I591,X591,"m")/12,""))</x:f>
        <x:v>7.333333333333333</x:v>
      </x:c>
      <x:c r="K591" s="60" t="str">
        <x:v>FLAT 2, 37 ST JOHNS HILL, LONDON, SW11 1TT</x:v>
      </x:c>
      <x:c r="L591" s="60" t="str">
        <x:v> SW11 1TT</x:v>
      </x:c>
      <x:c r="M591" s="60"/>
      <x:c r="N591" s="60" t="str">
        <x:v>SW11 1TT</x:v>
      </x:c>
      <x:c r="O591" s="61"/>
      <x:c r="P591" s="64" t="str">
        <x:f>IF(OR(O591="",I591=""),"",IFERROR(DATEDIF(O591,I591,"m")/12,""))</x:f>
      </x:c>
      <x:c r="Q591" s="60"/>
      <x:c r="R591" s="61"/>
      <x:c r="S591" s="64" t="str">
        <x:f>IF(OR(R591="",X591=""),"",IFERROR(DATEDIF(R591,X591,"m")/12,""))</x:f>
      </x:c>
      <x:c r="T591" s="60"/>
      <x:c r="U591" s="60"/>
      <x:c r="V591" s="60"/>
      <x:c r="W591" s="63"/>
      <x:c r="X591" s="65" t="n">
        <x:f>TODAY()</x:f>
        <x:v>46250</x:v>
      </x:c>
    </x:row>
    <x:row r="592">
      <x:c r="A592" s="59" t="str">
        <x:v>PUOLAKKA</x:v>
      </x:c>
      <x:c r="B592" s="60" t="str">
        <x:v>TUUKKA</x:v>
      </x:c>
      <x:c r="C592" s="60"/>
      <x:c r="D592" s="61" t="n">
        <x:v>25209.5</x:v>
      </x:c>
      <x:c r="E592" s="62" t="n">
        <x:f>IF(OR(D592="",X592=""),"",IFERROR(DATEDIF(D592,X592,"y"),""))</x:f>
        <x:v>57</x:v>
      </x:c>
      <x:c r="F592" s="60"/>
      <x:c r="G592" s="63"/>
      <x:c r="H592" s="63"/>
      <x:c r="I592" s="61" t="n">
        <x:v>43070.5</x:v>
      </x:c>
      <x:c r="J592" s="64" t="n">
        <x:f>IF(OR(I592="",X592=""),"",IFERROR(DATEDIF(I592,X592,"m")/12,""))</x:f>
        <x:v>8.666666666666666</x:v>
      </x:c>
      <x:c r="K592" s="60" t="str">
        <x:v>19 CLEVELAND TERRACE, LONDON, W2 6QH</x:v>
      </x:c>
      <x:c r="L592" s="60" t="str">
        <x:v> W2 6QH</x:v>
      </x:c>
      <x:c r="M592" s="60"/>
      <x:c r="N592" s="60" t="str">
        <x:v>W2 6QH</x:v>
      </x:c>
      <x:c r="O592" s="61"/>
      <x:c r="P592" s="64" t="str">
        <x:f>IF(OR(O592="",I592=""),"",IFERROR(DATEDIF(O592,I592,"m")/12,""))</x:f>
      </x:c>
      <x:c r="Q592" s="60"/>
      <x:c r="R592" s="61"/>
      <x:c r="S592" s="64" t="str">
        <x:f>IF(OR(R592="",X592=""),"",IFERROR(DATEDIF(R592,X592,"m")/12,""))</x:f>
      </x:c>
      <x:c r="T592" s="60"/>
      <x:c r="U592" s="60"/>
      <x:c r="V592" s="60"/>
      <x:c r="W592" s="63"/>
      <x:c r="X592" s="65" t="n">
        <x:f>TODAY()</x:f>
        <x:v>46250</x:v>
      </x:c>
    </x:row>
    <x:row r="593">
      <x:c r="A593" s="59" t="str">
        <x:v>PURAK</x:v>
      </x:c>
      <x:c r="B593" s="60" t="str">
        <x:v>ZOLTAN</x:v>
      </x:c>
      <x:c r="C593" s="60"/>
      <x:c r="D593" s="61" t="n">
        <x:v>31007.5</x:v>
      </x:c>
      <x:c r="E593" s="62" t="n">
        <x:f>IF(OR(D593="",X593=""),"",IFERROR(DATEDIF(D593,X593,"y"),""))</x:f>
        <x:v>41</x:v>
      </x:c>
      <x:c r="F593" s="60" t="str">
        <x:v>MATYAS</x:v>
      </x:c>
      <x:c r="G593" s="63"/>
      <x:c r="H593" s="63"/>
      <x:c r="I593" s="61" t="n">
        <x:v>43101.5</x:v>
      </x:c>
      <x:c r="J593" s="64" t="n">
        <x:f>IF(OR(I593="",X593=""),"",IFERROR(DATEDIF(I593,X593,"m")/12,""))</x:f>
        <x:v>8.583333333333334</x:v>
      </x:c>
      <x:c r="K593" s="60" t="str">
        <x:v>FLAT 2, 304 FULHAM ROAD, LONDON, SW10 9ER</x:v>
      </x:c>
      <x:c r="L593" s="60" t="str">
        <x:v> SW10 9ER</x:v>
      </x:c>
      <x:c r="M593" s="60"/>
      <x:c r="N593" s="60" t="str">
        <x:v>SW10 9ER</x:v>
      </x:c>
      <x:c r="O593" s="61" t="n">
        <x:v>42248.5</x:v>
      </x:c>
      <x:c r="P593" s="64" t="n">
        <x:f>IF(OR(O593="",I593=""),"",IFERROR(DATEDIF(O593,I593,"m")/12,""))</x:f>
        <x:v>2.3333333333333335</x:v>
      </x:c>
      <x:c r="Q593" s="60" t="str">
        <x:v>151 DAWES ROAD, LONDON, SW6 7EE</x:v>
      </x:c>
      <x:c r="R593" s="61" t="n">
        <x:v>42278.5</x:v>
      </x:c>
      <x:c r="S593" s="64" t="n">
        <x:f>IF(OR(R593="",X593=""),"",IFERROR(DATEDIF(R593,X593,"m")/12,""))</x:f>
        <x:v>10.833333333333334</x:v>
      </x:c>
      <x:c r="T593" s="60" t="str">
        <x:v>FOUNDER</x:v>
      </x:c>
      <x:c r="U593" s="60" t="str">
        <x:v>GSD ONLINE LIMITED`</x:v>
      </x:c>
      <x:c r="V593" s="60" t="str">
        <x:v>49 STEWARTS GROVE, LONDON, SW3 6PH</x:v>
      </x:c>
      <x:c r="W593" s="63"/>
      <x:c r="X593" s="65" t="n">
        <x:f>TODAY()</x:f>
        <x:v>46250</x:v>
      </x:c>
    </x:row>
    <x:row r="594">
      <x:c r="A594" s="59" t="str">
        <x:v>PURER</x:v>
      </x:c>
      <x:c r="B594" s="60" t="str">
        <x:v>MATTEO</x:v>
      </x:c>
      <x:c r="C594" s="60"/>
      <x:c r="D594" s="61" t="n">
        <x:v>34140.5</x:v>
      </x:c>
      <x:c r="E594" s="62" t="n">
        <x:f>IF(OR(D594="",X594=""),"",IFERROR(DATEDIF(D594,X594,"y"),""))</x:f>
        <x:v>33</x:v>
      </x:c>
      <x:c r="F594" s="60"/>
      <x:c r="G594" s="63" t="str">
        <x:v>07741974820</x:v>
      </x:c>
      <x:c r="H594" s="63"/>
      <x:c r="I594" s="61"/>
      <x:c r="J594" s="64" t="str">
        <x:f>IF(OR(I594="",X594=""),"",IFERROR(DATEDIF(I594,X594,"m")/12,""))</x:f>
      </x:c>
      <x:c r="K594" s="60"/>
      <x:c r="L594" s="60"/>
      <x:c r="M594" s="60"/>
      <x:c r="N594" s="60"/>
      <x:c r="O594" s="61"/>
      <x:c r="P594" s="64" t="str">
        <x:f>IF(OR(O594="",I594=""),"",IFERROR(DATEDIF(O594,I594,"m")/12,""))</x:f>
      </x:c>
      <x:c r="Q594" s="60"/>
      <x:c r="R594" s="61"/>
      <x:c r="S594" s="64" t="str">
        <x:f>IF(OR(R594="",X594=""),"",IFERROR(DATEDIF(R594,X594,"m")/12,""))</x:f>
      </x:c>
      <x:c r="T594" s="60"/>
      <x:c r="U594" s="60"/>
      <x:c r="V594" s="60"/>
      <x:c r="W594" s="63"/>
      <x:c r="X594" s="65" t="n">
        <x:f>TODAY()</x:f>
        <x:v>46250</x:v>
      </x:c>
    </x:row>
    <x:row r="595">
      <x:c r="A595" s="59" t="str">
        <x:v>Q</x:v>
      </x:c>
      <x:c r="B595" s="60"/>
      <x:c r="C595" s="60"/>
      <x:c r="D595" s="61"/>
      <x:c r="E595" s="62" t="str">
        <x:f>IF(OR(D595="",X595=""),"",IFERROR(DATEDIF(D595,X595,"y"),""))</x:f>
      </x:c>
      <x:c r="F595" s="60"/>
      <x:c r="G595" s="63"/>
      <x:c r="H595" s="63"/>
      <x:c r="I595" s="61"/>
      <x:c r="J595" s="64" t="str">
        <x:f>IF(OR(I595="",X595=""),"",IFERROR(DATEDIF(I595,X595,"m")/12,""))</x:f>
      </x:c>
      <x:c r="K595" s="60"/>
      <x:c r="L595" s="60"/>
      <x:c r="M595" s="60"/>
      <x:c r="N595" s="60"/>
      <x:c r="O595" s="61"/>
      <x:c r="P595" s="64" t="str">
        <x:f>IF(OR(O595="",I595=""),"",IFERROR(DATEDIF(O595,I595,"m")/12,""))</x:f>
      </x:c>
      <x:c r="Q595" s="60"/>
      <x:c r="R595" s="61"/>
      <x:c r="S595" s="64" t="str">
        <x:f>IF(OR(R595="",X595=""),"",IFERROR(DATEDIF(R595,X595,"m")/12,""))</x:f>
      </x:c>
      <x:c r="T595" s="60"/>
      <x:c r="U595" s="60"/>
      <x:c r="V595" s="60"/>
      <x:c r="W595" s="63"/>
      <x:c r="X595" s="65" t="n">
        <x:f>TODAY()</x:f>
        <x:v>46250</x:v>
      </x:c>
    </x:row>
    <x:row r="596">
      <x:c r="A596" s="59" t="str">
        <x:v>QIN</x:v>
      </x:c>
      <x:c r="B596" s="60" t="str">
        <x:v>YUQING</x:v>
      </x:c>
      <x:c r="C596" s="60"/>
      <x:c r="D596" s="61" t="n">
        <x:v>32506.5</x:v>
      </x:c>
      <x:c r="E596" s="62" t="n">
        <x:f>IF(OR(D596="",X596=""),"",IFERROR(DATEDIF(D596,X596,"y"),""))</x:f>
        <x:v>37</x:v>
      </x:c>
      <x:c r="F596" s="60"/>
      <x:c r="G596" s="63"/>
      <x:c r="H596" s="63"/>
      <x:c r="I596" s="61"/>
      <x:c r="J596" s="64" t="str">
        <x:f>IF(OR(I596="",X596=""),"",IFERROR(DATEDIF(I596,X596,"m")/12,""))</x:f>
      </x:c>
      <x:c r="K596" s="60" t="str">
        <x:v>252C GLOIUCESTER TERRACE, LONDON, W2 6HU</x:v>
      </x:c>
      <x:c r="L596" s="60" t="str">
        <x:v> W2 6HU</x:v>
      </x:c>
      <x:c r="M596" s="60"/>
      <x:c r="N596" s="60" t="str">
        <x:v>W2 6HU</x:v>
      </x:c>
      <x:c r="O596" s="61"/>
      <x:c r="P596" s="64" t="str">
        <x:f>IF(OR(O596="",I596=""),"",IFERROR(DATEDIF(O596,I596,"m")/12,""))</x:f>
      </x:c>
      <x:c r="Q596" s="60"/>
      <x:c r="R596" s="61"/>
      <x:c r="S596" s="64" t="str">
        <x:f>IF(OR(R596="",X596=""),"",IFERROR(DATEDIF(R596,X596,"m")/12,""))</x:f>
      </x:c>
      <x:c r="T596" s="60"/>
      <x:c r="U596" s="60" t="str">
        <x:v>PIMCO EUROPE LIMITED</x:v>
      </x:c>
      <x:c r="V596" s="60"/>
      <x:c r="W596" s="63"/>
      <x:c r="X596" s="65" t="n">
        <x:f>TODAY()</x:f>
        <x:v>46250</x:v>
      </x:c>
    </x:row>
    <x:row r="597">
      <x:c r="A597" s="59" t="str">
        <x:v>QUARADEGHINI</x:v>
      </x:c>
      <x:c r="B597" s="60" t="str">
        <x:v>GIANCARLO</x:v>
      </x:c>
      <x:c r="C597" s="60" t="str">
        <x:v>PIETRO</x:v>
      </x:c>
      <x:c r="D597" s="61" t="n">
        <x:v>25874.5</x:v>
      </x:c>
      <x:c r="E597" s="62" t="n">
        <x:f>IF(OR(D597="",X597=""),"",IFERROR(DATEDIF(D597,X597,"y"),""))</x:f>
        <x:v>55</x:v>
      </x:c>
      <x:c r="F597" s="60" t="str">
        <x:v>DELCOMBEL</x:v>
      </x:c>
      <x:c r="G597" s="63"/>
      <x:c r="H597" s="63"/>
      <x:c r="I597" s="61" t="n">
        <x:v>43770.5</x:v>
      </x:c>
      <x:c r="J597" s="64" t="n">
        <x:f>IF(OR(I597="",X597=""),"",IFERROR(DATEDIF(I597,X597,"m")/12,""))</x:f>
        <x:v>6.75</x:v>
      </x:c>
      <x:c r="K597" s="60" t="str">
        <x:v>19 CRAVEN TERRACE, LONDON, W2 6QF</x:v>
      </x:c>
      <x:c r="L597" s="60" t="str">
        <x:v> W2 6QF</x:v>
      </x:c>
      <x:c r="M597" s="60"/>
      <x:c r="N597" s="60" t="str">
        <x:v>W2 6QF</x:v>
      </x:c>
      <x:c r="O597" s="61" t="n">
        <x:v>37377.5</x:v>
      </x:c>
      <x:c r="P597" s="64" t="n">
        <x:f>IF(OR(O597="",I597=""),"",IFERROR(DATEDIF(O597,I597,"m")/12,""))</x:f>
        <x:v>17.5</x:v>
      </x:c>
      <x:c r="Q597" s="60" t="str">
        <x:v>38B, LANCASTER MEWS, LONDON, LONDON, W2 3QF</x:v>
      </x:c>
      <x:c r="R597" s="61"/>
      <x:c r="S597" s="64" t="str">
        <x:f>IF(OR(R597="",X597=""),"",IFERROR(DATEDIF(R597,X597,"m")/12,""))</x:f>
      </x:c>
      <x:c r="T597" s="60"/>
      <x:c r="U597" s="60"/>
      <x:c r="V597" s="60"/>
      <x:c r="W597" s="63"/>
      <x:c r="X597" s="65" t="n">
        <x:f>TODAY()</x:f>
        <x:v>46250</x:v>
      </x:c>
    </x:row>
    <x:row r="598">
      <x:c r="A598" s="59" t="str">
        <x:v>QUAYYUM</x:v>
      </x:c>
      <x:c r="B598" s="60" t="str">
        <x:v>AMBREEN</x:v>
      </x:c>
      <x:c r="C598" s="60"/>
      <x:c r="D598" s="61" t="n">
        <x:v>23763.5</x:v>
      </x:c>
      <x:c r="E598" s="62" t="n">
        <x:f>IF(OR(D598="",X598=""),"",IFERROR(DATEDIF(D598,X598,"y"),""))</x:f>
        <x:v>61</x:v>
      </x:c>
      <x:c r="F598" s="60"/>
      <x:c r="G598" s="63" t="str">
        <x:v>07507069978</x:v>
      </x:c>
      <x:c r="H598" s="63"/>
      <x:c r="I598" s="61"/>
      <x:c r="J598" s="64" t="str">
        <x:f>IF(OR(I598="",X598=""),"",IFERROR(DATEDIF(I598,X598,"m")/12,""))</x:f>
      </x:c>
      <x:c r="K598" s="60"/>
      <x:c r="L598" s="60"/>
      <x:c r="M598" s="60"/>
      <x:c r="N598" s="60"/>
      <x:c r="O598" s="61"/>
      <x:c r="P598" s="64" t="str">
        <x:f>IF(OR(O598="",I598=""),"",IFERROR(DATEDIF(O598,I598,"m")/12,""))</x:f>
      </x:c>
      <x:c r="Q598" s="60"/>
      <x:c r="R598" s="61"/>
      <x:c r="S598" s="64" t="str">
        <x:f>IF(OR(R598="",X598=""),"",IFERROR(DATEDIF(R598,X598,"m")/12,""))</x:f>
      </x:c>
      <x:c r="T598" s="60"/>
      <x:c r="U598" s="60"/>
      <x:c r="V598" s="60"/>
      <x:c r="W598" s="63"/>
      <x:c r="X598" s="65" t="n">
        <x:f>TODAY()</x:f>
        <x:v>46250</x:v>
      </x:c>
    </x:row>
    <x:row r="599">
      <x:c r="A599" s="59" t="str">
        <x:v>QUINTERO</x:v>
      </x:c>
      <x:c r="B599" s="60" t="str">
        <x:v>HELIODORO</x:v>
      </x:c>
      <x:c r="C599" s="60"/>
      <x:c r="D599" s="61" t="n">
        <x:v>22919.5</x:v>
      </x:c>
      <x:c r="E599" s="62" t="n">
        <x:f>IF(OR(D599="",X599=""),"",IFERROR(DATEDIF(D599,X599,"y"),""))</x:f>
        <x:v>63</x:v>
      </x:c>
      <x:c r="F599" s="60" t="str">
        <x:v>GIUSTI</x:v>
      </x:c>
      <x:c r="G599" s="63"/>
      <x:c r="H599" s="63"/>
      <x:c r="I599" s="61"/>
      <x:c r="J599" s="64" t="str">
        <x:f>IF(OR(I599="",X599=""),"",IFERROR(DATEDIF(I599,X599,"m")/12,""))</x:f>
      </x:c>
      <x:c r="K599" s="60" t="str">
        <x:v>FLAT 21, 163 CROMWELL ROAD, LONDON, SW5 0SQ</x:v>
      </x:c>
      <x:c r="L599" s="60" t="str">
        <x:v> SW5 0SQ</x:v>
      </x:c>
      <x:c r="M599" s="60"/>
      <x:c r="N599" s="60" t="str">
        <x:v>SW5 0SQ</x:v>
      </x:c>
      <x:c r="O599" s="61"/>
      <x:c r="P599" s="64" t="str">
        <x:f>IF(OR(O599="",I599=""),"",IFERROR(DATEDIF(O599,I599,"m")/12,""))</x:f>
      </x:c>
      <x:c r="Q599" s="60"/>
      <x:c r="R599" s="61"/>
      <x:c r="S599" s="64" t="str">
        <x:f>IF(OR(R599="",X599=""),"",IFERROR(DATEDIF(R599,X599,"m")/12,""))</x:f>
      </x:c>
      <x:c r="T599" s="60"/>
      <x:c r="U599" s="60"/>
      <x:c r="V599" s="60"/>
      <x:c r="W599" s="63"/>
      <x:c r="X599" s="65" t="n">
        <x:f>TODAY()</x:f>
        <x:v>46250</x:v>
      </x:c>
    </x:row>
    <x:row r="600">
      <x:c r="A600" s="59" t="str">
        <x:v>R</x:v>
      </x:c>
      <x:c r="B600" s="60"/>
      <x:c r="C600" s="60"/>
      <x:c r="D600" s="61"/>
      <x:c r="E600" s="62" t="str">
        <x:f>IF(OR(D600="",X600=""),"",IFERROR(DATEDIF(D600,X600,"y"),""))</x:f>
      </x:c>
      <x:c r="F600" s="60"/>
      <x:c r="G600" s="63"/>
      <x:c r="H600" s="63"/>
      <x:c r="I600" s="61"/>
      <x:c r="J600" s="64" t="str">
        <x:f>IF(OR(I600="",X600=""),"",IFERROR(DATEDIF(I600,X600,"m")/12,""))</x:f>
      </x:c>
      <x:c r="K600" s="60"/>
      <x:c r="L600" s="60"/>
      <x:c r="M600" s="60"/>
      <x:c r="N600" s="60"/>
      <x:c r="O600" s="61"/>
      <x:c r="P600" s="64" t="str">
        <x:f>IF(OR(O600="",I600=""),"",IFERROR(DATEDIF(O600,I600,"m")/12,""))</x:f>
      </x:c>
      <x:c r="Q600" s="60"/>
      <x:c r="R600" s="61"/>
      <x:c r="S600" s="64" t="str">
        <x:f>IF(OR(R600="",X600=""),"",IFERROR(DATEDIF(R600,X600,"m")/12,""))</x:f>
      </x:c>
      <x:c r="T600" s="60"/>
      <x:c r="U600" s="60"/>
      <x:c r="V600" s="60"/>
      <x:c r="W600" s="63"/>
      <x:c r="X600" s="65" t="n">
        <x:f>TODAY()</x:f>
        <x:v>46250</x:v>
      </x:c>
    </x:row>
    <x:row r="601">
      <x:c r="A601" s="59" t="str">
        <x:v>RADJI</x:v>
      </x:c>
      <x:c r="B601" s="60" t="str">
        <x:v>MOURAD</x:v>
      </x:c>
      <x:c r="C601" s="60"/>
      <x:c r="D601" s="61" t="n">
        <x:v>30024.5</x:v>
      </x:c>
      <x:c r="E601" s="62" t="n">
        <x:f>IF(OR(D601="",X601=""),"",IFERROR(DATEDIF(D601,X601,"y"),""))</x:f>
        <x:v>44</x:v>
      </x:c>
      <x:c r="F601" s="60"/>
      <x:c r="G601" s="63"/>
      <x:c r="H601" s="63"/>
      <x:c r="I601" s="61"/>
      <x:c r="J601" s="64" t="str">
        <x:f>IF(OR(I601="",X601=""),"",IFERROR(DATEDIF(I601,X601,"m")/12,""))</x:f>
      </x:c>
      <x:c r="K601" s="60"/>
      <x:c r="L601" s="60"/>
      <x:c r="M601" s="60"/>
      <x:c r="N601" s="60"/>
      <x:c r="O601" s="61"/>
      <x:c r="P601" s="64" t="str">
        <x:f>IF(OR(O601="",I601=""),"",IFERROR(DATEDIF(O601,I601,"m")/12,""))</x:f>
      </x:c>
      <x:c r="Q601" s="60"/>
      <x:c r="R601" s="61"/>
      <x:c r="S601" s="64" t="str">
        <x:f>IF(OR(R601="",X601=""),"",IFERROR(DATEDIF(R601,X601,"m")/12,""))</x:f>
      </x:c>
      <x:c r="T601" s="60"/>
      <x:c r="U601" s="60"/>
      <x:c r="V601" s="60"/>
      <x:c r="W601" s="63"/>
      <x:c r="X601" s="65" t="n">
        <x:f>TODAY()</x:f>
        <x:v>46250</x:v>
      </x:c>
    </x:row>
    <x:row r="602">
      <x:c r="A602" s="59" t="str">
        <x:v>RAESIDE</x:v>
      </x:c>
      <x:c r="B602" s="60" t="str">
        <x:v>ANTHONY</x:v>
      </x:c>
      <x:c r="C602" s="60" t="str">
        <x:v>JAMES</x:v>
      </x:c>
      <x:c r="D602" s="61" t="n">
        <x:v>28169.5</x:v>
      </x:c>
      <x:c r="E602" s="62" t="n">
        <x:f>IF(OR(D602="",X602=""),"",IFERROR(DATEDIF(D602,X602,"y"),""))</x:f>
        <x:v>49</x:v>
      </x:c>
      <x:c r="F602" s="60" t="str">
        <x:v>SMITH</x:v>
      </x:c>
      <x:c r="G602" s="63" t="str">
        <x:v>07561771613</x:v>
      </x:c>
      <x:c r="H602" s="63"/>
      <x:c r="I602" s="61" t="n">
        <x:v>42491.5</x:v>
      </x:c>
      <x:c r="J602" s="64" t="n">
        <x:f>IF(OR(I602="",X602=""),"",IFERROR(DATEDIF(I602,X602,"m")/12,""))</x:f>
        <x:v>10.25</x:v>
      </x:c>
      <x:c r="K602" s="60" t="str">
        <x:v>FLAT 1, HEATH VIEW, 8 WINDMILL DRIVE, LONDON, SW4 9DE</x:v>
      </x:c>
      <x:c r="L602" s="60" t="str">
        <x:v> SW4 9DE</x:v>
      </x:c>
      <x:c r="M602" s="60"/>
      <x:c r="N602" s="60" t="str">
        <x:v>SW4 9DE</x:v>
      </x:c>
      <x:c r="O602" s="61"/>
      <x:c r="P602" s="64" t="str">
        <x:f>IF(OR(O602="",I602=""),"",IFERROR(DATEDIF(O602,I602,"m")/12,""))</x:f>
      </x:c>
      <x:c r="Q602" s="60"/>
      <x:c r="R602" s="61"/>
      <x:c r="S602" s="64" t="str">
        <x:f>IF(OR(R602="",X602=""),"",IFERROR(DATEDIF(R602,X602,"m")/12,""))</x:f>
      </x:c>
      <x:c r="T602" s="60"/>
      <x:c r="U602" s="60"/>
      <x:c r="V602" s="60"/>
      <x:c r="W602" s="63"/>
      <x:c r="X602" s="65" t="n">
        <x:f>TODAY()</x:f>
        <x:v>46250</x:v>
      </x:c>
    </x:row>
    <x:row r="603">
      <x:c r="A603" s="59" t="str">
        <x:v>RAMA</x:v>
      </x:c>
      <x:c r="B603" s="60" t="str">
        <x:v>ZAMIR</x:v>
      </x:c>
      <x:c r="C603" s="60"/>
      <x:c r="D603" s="61" t="n">
        <x:v>29652.5</x:v>
      </x:c>
      <x:c r="E603" s="62" t="n">
        <x:f>IF(OR(D603="",X603=""),"",IFERROR(DATEDIF(D603,X603,"y"),""))</x:f>
        <x:v>45</x:v>
      </x:c>
      <x:c r="F603" s="60"/>
      <x:c r="G603" s="63"/>
      <x:c r="H603" s="63"/>
      <x:c r="I603" s="61"/>
      <x:c r="J603" s="64" t="str">
        <x:f>IF(OR(I603="",X603=""),"",IFERROR(DATEDIF(I603,X603,"m")/12,""))</x:f>
      </x:c>
      <x:c r="K603" s="60" t="str">
        <x:v>FLAT 5, 110 NEW CAVENDISH STREET, LONODN, W1W 6XR</x:v>
      </x:c>
      <x:c r="L603" s="60"/>
      <x:c r="M603" s="60"/>
      <x:c r="N603" s="60"/>
      <x:c r="O603" s="61"/>
      <x:c r="P603" s="64" t="str">
        <x:f>IF(OR(O603="",I603=""),"",IFERROR(DATEDIF(O603,I603,"m")/12,""))</x:f>
      </x:c>
      <x:c r="Q603" s="60"/>
      <x:c r="R603" s="61"/>
      <x:c r="S603" s="64" t="str">
        <x:f>IF(OR(R603="",X603=""),"",IFERROR(DATEDIF(R603,X603,"m")/12,""))</x:f>
      </x:c>
      <x:c r="T603" s="60"/>
      <x:c r="U603" s="60"/>
      <x:c r="V603" s="60"/>
      <x:c r="W603" s="63"/>
      <x:c r="X603" s="65" t="n">
        <x:f>TODAY()</x:f>
        <x:v>46250</x:v>
      </x:c>
    </x:row>
    <x:row r="604">
      <x:c r="A604" s="59" t="str">
        <x:v>RAMADN</x:v>
      </x:c>
      <x:c r="B604" s="60" t="str">
        <x:v>MOUKHTAR</x:v>
      </x:c>
      <x:c r="C604" s="60"/>
      <x:c r="D604" s="61" t="n">
        <x:v>20003.5</x:v>
      </x:c>
      <x:c r="E604" s="62" t="n">
        <x:f>IF(OR(D604="",X604=""),"",IFERROR(DATEDIF(D604,X604,"y"),""))</x:f>
        <x:v>71</x:v>
      </x:c>
      <x:c r="F604" s="60"/>
      <x:c r="G604" s="63"/>
      <x:c r="H604" s="63"/>
      <x:c r="I604" s="61"/>
      <x:c r="J604" s="64" t="str">
        <x:f>IF(OR(I604="",X604=""),"",IFERROR(DATEDIF(I604,X604,"m")/12,""))</x:f>
      </x:c>
      <x:c r="K604" s="60" t="str">
        <x:v>FLAT 3, 92 WESTBOURNE TERRACE, LONDON, W2 6QE</x:v>
      </x:c>
      <x:c r="L604" s="60" t="str">
        <x:v> W2 6QE</x:v>
      </x:c>
      <x:c r="M604" s="60"/>
      <x:c r="N604" s="60" t="str">
        <x:v>W2 6QE</x:v>
      </x:c>
      <x:c r="O604" s="61"/>
      <x:c r="P604" s="64" t="str">
        <x:f>IF(OR(O604="",I604=""),"",IFERROR(DATEDIF(O604,I604,"m")/12,""))</x:f>
      </x:c>
      <x:c r="Q604" s="60"/>
      <x:c r="R604" s="61"/>
      <x:c r="S604" s="64" t="str">
        <x:f>IF(OR(R604="",X604=""),"",IFERROR(DATEDIF(R604,X604,"m")/12,""))</x:f>
      </x:c>
      <x:c r="T604" s="60"/>
      <x:c r="U604" s="60"/>
      <x:c r="V604" s="60"/>
      <x:c r="W604" s="63"/>
      <x:c r="X604" s="65" t="n">
        <x:f>TODAY()</x:f>
        <x:v>46250</x:v>
      </x:c>
    </x:row>
    <x:row r="605">
      <x:c r="A605" s="59" t="str">
        <x:v>RAMDANE</x:v>
      </x:c>
      <x:c r="B605" s="60" t="str">
        <x:v>ABDELHAK</x:v>
      </x:c>
      <x:c r="C605" s="60"/>
      <x:c r="D605" s="61" t="n">
        <x:v>28634.5</x:v>
      </x:c>
      <x:c r="E605" s="62" t="n">
        <x:f>IF(OR(D605="",X605=""),"",IFERROR(DATEDIF(D605,X605,"y"),""))</x:f>
        <x:v>48</x:v>
      </x:c>
      <x:c r="F605" s="60"/>
      <x:c r="G605" s="63"/>
      <x:c r="H605" s="63" t="str">
        <x:v>PX405173B</x:v>
      </x:c>
      <x:c r="I605" s="61" t="n">
        <x:v>41395.5</x:v>
      </x:c>
      <x:c r="J605" s="64" t="n">
        <x:f>IF(OR(I605="",X605=""),"",IFERROR(DATEDIF(I605,X605,"m")/12,""))</x:f>
        <x:v>13.25</x:v>
      </x:c>
      <x:c r="K605" s="60" t="str">
        <x:v>FLAT 2, AMBASSADOR COURT, 17-19 CRAVEN TERRACE, FLAT 29, LONDON, W2 3QH</x:v>
      </x:c>
      <x:c r="L605" s="60" t="str">
        <x:v> W2 3QH</x:v>
      </x:c>
      <x:c r="M605" s="60"/>
      <x:c r="N605" s="60" t="str">
        <x:v>W2 3QH</x:v>
      </x:c>
      <x:c r="O605" s="61"/>
      <x:c r="P605" s="64" t="str">
        <x:f>IF(OR(O605="",I605=""),"",IFERROR(DATEDIF(O605,I605,"m")/12,""))</x:f>
      </x:c>
      <x:c r="Q605" s="60"/>
      <x:c r="R605" s="61"/>
      <x:c r="S605" s="64" t="str">
        <x:f>IF(OR(R605="",X605=""),"",IFERROR(DATEDIF(R605,X605,"m")/12,""))</x:f>
      </x:c>
      <x:c r="T605" s="60"/>
      <x:c r="U605" s="60"/>
      <x:c r="V605" s="60"/>
      <x:c r="W605" s="63"/>
      <x:c r="X605" s="65" t="n">
        <x:f>TODAY()</x:f>
        <x:v>46250</x:v>
      </x:c>
    </x:row>
    <x:row r="606">
      <x:c r="A606" s="59" t="str">
        <x:v>RATTI</x:v>
      </x:c>
      <x:c r="B606" s="60" t="str">
        <x:v>GIOVANNA</x:v>
      </x:c>
      <x:c r="C606" s="60"/>
      <x:c r="D606" s="61" t="n">
        <x:v>25233.5</x:v>
      </x:c>
      <x:c r="E606" s="62" t="n">
        <x:f>IF(OR(D606="",X606=""),"",IFERROR(DATEDIF(D606,X606,"y"),""))</x:f>
        <x:v>57</x:v>
      </x:c>
      <x:c r="F606" s="60" t="str">
        <x:v>RATTI</x:v>
      </x:c>
      <x:c r="G606" s="63"/>
      <x:c r="H606" s="63"/>
      <x:c r="I606" s="61" t="n">
        <x:v>38626.5</x:v>
      </x:c>
      <x:c r="J606" s="64" t="n">
        <x:f>IF(OR(I606="",X606=""),"",IFERROR(DATEDIF(I606,X606,"m")/12,""))</x:f>
        <x:v>20.833333333333332</x:v>
      </x:c>
      <x:c r="K606" s="60" t="str">
        <x:v>FLAT 12, 18 COLINGHAM GARDENS, SW5 0HS</x:v>
      </x:c>
      <x:c r="L606" s="60"/>
      <x:c r="M606" s="60"/>
      <x:c r="N606" s="60"/>
      <x:c r="O606" s="61"/>
      <x:c r="P606" s="64" t="str">
        <x:f>IF(OR(O606="",I606=""),"",IFERROR(DATEDIF(O606,I606,"m")/12,""))</x:f>
      </x:c>
      <x:c r="Q606" s="60"/>
      <x:c r="R606" s="61"/>
      <x:c r="S606" s="64" t="str">
        <x:f>IF(OR(R606="",X606=""),"",IFERROR(DATEDIF(R606,X606,"m")/12,""))</x:f>
      </x:c>
      <x:c r="T606" s="60"/>
      <x:c r="U606" s="60"/>
      <x:c r="V606" s="60"/>
      <x:c r="W606" s="63"/>
      <x:c r="X606" s="65" t="n">
        <x:f>TODAY()</x:f>
        <x:v>46250</x:v>
      </x:c>
    </x:row>
    <x:row r="607">
      <x:c r="A607" s="59" t="str">
        <x:v>REANEY</x:v>
      </x:c>
      <x:c r="B607" s="60" t="str">
        <x:v>FINNIAN</x:v>
      </x:c>
      <x:c r="C607" s="60" t="str">
        <x:v>DYLAN</x:v>
      </x:c>
      <x:c r="D607" s="61"/>
      <x:c r="E607" s="62" t="str">
        <x:f>IF(OR(D607="",X607=""),"",IFERROR(DATEDIF(D607,X607,"y"),""))</x:f>
      </x:c>
      <x:c r="F607" s="60" t="str">
        <x:v>HAYWOOD</x:v>
      </x:c>
      <x:c r="G607" s="63"/>
      <x:c r="H607" s="63" t="str">
        <x:v>PB604633B</x:v>
      </x:c>
      <x:c r="I607" s="61" t="n">
        <x:v>44228.5</x:v>
      </x:c>
      <x:c r="J607" s="64" t="n">
        <x:f>IF(OR(I607="",X607=""),"",IFERROR(DATEDIF(I607,X607,"m")/12,""))</x:f>
        <x:v>5.5</x:v>
      </x:c>
      <x:c r="K607" s="60" t="str">
        <x:v>FLAT 2, 268 FULHAM ROAD, LONDON, SW10 9EW</x:v>
      </x:c>
      <x:c r="L607" s="60" t="str">
        <x:v> SW10 9EW</x:v>
      </x:c>
      <x:c r="M607" s="60"/>
      <x:c r="N607" s="60" t="str">
        <x:v>SW10 9EW</x:v>
      </x:c>
      <x:c r="O607" s="61" t="n">
        <x:v>42491.5</x:v>
      </x:c>
      <x:c r="P607" s="64" t="n">
        <x:f>IF(OR(O607="",I607=""),"",IFERROR(DATEDIF(O607,I607,"m")/12,""))</x:f>
        <x:v>4.75</x:v>
      </x:c>
      <x:c r="Q607" s="60" t="str">
        <x:v>83, STATION ROAD, LEICESTER, LEICESTERSHIRE, LE9 6PU</x:v>
      </x:c>
      <x:c r="R607" s="61" t="n">
        <x:v>44256.5</x:v>
      </x:c>
      <x:c r="S607" s="64" t="n">
        <x:f>IF(OR(R607="",X607=""),"",IFERROR(DATEDIF(R607,X607,"m")/12,""))</x:f>
        <x:v>5.416666666666667</x:v>
      </x:c>
      <x:c r="T607" s="60" t="str">
        <x:v>QUANTITY SURVEYOR</x:v>
      </x:c>
      <x:c r="U607" s="60" t="str">
        <x:v>THE BERKELEY GROUP PLC</x:v>
      </x:c>
      <x:c r="V607" s="60" t="str">
        <x:v>BERKELEY HOUSE, 15B ST GEORGE WHARF, LONDON, SW8 2LE</x:v>
      </x:c>
      <x:c r="W607" s="63" t="str">
        <x:v>0207 091 2521</x:v>
      </x:c>
      <x:c r="X607" s="65" t="n">
        <x:f>TODAY()</x:f>
        <x:v>46250</x:v>
      </x:c>
    </x:row>
    <x:row r="608">
      <x:c r="A608" s="59" t="str">
        <x:v>RESCOURIO</x:v>
      </x:c>
      <x:c r="B608" s="60" t="str">
        <x:v>ANTOINE</x:v>
      </x:c>
      <x:c r="C608" s="60"/>
      <x:c r="D608" s="61" t="n">
        <x:v>22913.5</x:v>
      </x:c>
      <x:c r="E608" s="62" t="n">
        <x:f>IF(OR(D608="",X608=""),"",IFERROR(DATEDIF(D608,X608,"y"),""))</x:f>
        <x:v>63</x:v>
      </x:c>
      <x:c r="F608" s="60"/>
      <x:c r="G608" s="63"/>
      <x:c r="H608" s="63"/>
      <x:c r="I608" s="61"/>
      <x:c r="J608" s="64" t="str">
        <x:f>IF(OR(I608="",X608=""),"",IFERROR(DATEDIF(I608,X608,"m")/12,""))</x:f>
      </x:c>
      <x:c r="K608" s="60"/>
      <x:c r="L608" s="60"/>
      <x:c r="M608" s="60"/>
      <x:c r="N608" s="60"/>
      <x:c r="O608" s="61"/>
      <x:c r="P608" s="64" t="str">
        <x:f>IF(OR(O608="",I608=""),"",IFERROR(DATEDIF(O608,I608,"m")/12,""))</x:f>
      </x:c>
      <x:c r="Q608" s="60"/>
      <x:c r="R608" s="61"/>
      <x:c r="S608" s="64" t="str">
        <x:f>IF(OR(R608="",X608=""),"",IFERROR(DATEDIF(R608,X608,"m")/12,""))</x:f>
      </x:c>
      <x:c r="T608" s="60"/>
      <x:c r="U608" s="60"/>
      <x:c r="V608" s="60"/>
      <x:c r="W608" s="63"/>
      <x:c r="X608" s="65" t="n">
        <x:f>TODAY()</x:f>
        <x:v>46250</x:v>
      </x:c>
    </x:row>
    <x:row r="609">
      <x:c r="A609" s="59" t="str">
        <x:v>RESNIER</x:v>
      </x:c>
      <x:c r="B609" s="60" t="str">
        <x:v>YANN</x:v>
      </x:c>
      <x:c r="C609" s="60" t="str">
        <x:v>ANTOINE</x:v>
      </x:c>
      <x:c r="D609" s="61" t="n">
        <x:v>33890.5</x:v>
      </x:c>
      <x:c r="E609" s="62" t="n">
        <x:f>IF(OR(D609="",X609=""),"",IFERROR(DATEDIF(D609,X609,"y"),""))</x:f>
        <x:v>33</x:v>
      </x:c>
      <x:c r="F609" s="60" t="str">
        <x:v>RESNIER</x:v>
      </x:c>
      <x:c r="G609" s="63"/>
      <x:c r="H609" s="63"/>
      <x:c r="I609" s="61" t="n">
        <x:v>43282.5</x:v>
      </x:c>
      <x:c r="J609" s="64" t="n">
        <x:f>IF(OR(I609="",X609=""),"",IFERROR(DATEDIF(I609,X609,"m")/12,""))</x:f>
        <x:v>8.083333333333334</x:v>
      </x:c>
      <x:c r="K609" s="60" t="str">
        <x:v>FLT 2, 82 BREWER STREET, LONDON, W1F 9UA</x:v>
      </x:c>
      <x:c r="L609" s="60" t="str">
        <x:v> W1F 9UA</x:v>
      </x:c>
      <x:c r="M609" s="60"/>
      <x:c r="N609" s="60" t="str">
        <x:v>W1F 9UA</x:v>
      </x:c>
      <x:c r="O609" s="61"/>
      <x:c r="P609" s="64" t="str">
        <x:f>IF(OR(O609="",I609=""),"",IFERROR(DATEDIF(O609,I609,"m")/12,""))</x:f>
      </x:c>
      <x:c r="Q609" s="60"/>
      <x:c r="R609" s="61"/>
      <x:c r="S609" s="64" t="str">
        <x:f>IF(OR(R609="",X609=""),"",IFERROR(DATEDIF(R609,X609,"m")/12,""))</x:f>
      </x:c>
      <x:c r="T609" s="60"/>
      <x:c r="U609" s="60"/>
      <x:c r="V609" s="60"/>
      <x:c r="W609" s="63"/>
      <x:c r="X609" s="65" t="n">
        <x:f>TODAY()</x:f>
        <x:v>46250</x:v>
      </x:c>
    </x:row>
    <x:row r="610">
      <x:c r="A610" s="59" t="str">
        <x:v>RHODES</x:v>
      </x:c>
      <x:c r="B610" s="60" t="str">
        <x:v>HARRIS</x:v>
      </x:c>
      <x:c r="C610" s="60" t="str">
        <x:v>MICHAEL</x:v>
      </x:c>
      <x:c r="D610" s="61" t="n">
        <x:v>36629.5</x:v>
      </x:c>
      <x:c r="E610" s="62" t="n">
        <x:f>IF(OR(D610="",X610=""),"",IFERROR(DATEDIF(D610,X610,"y"),""))</x:f>
        <x:v>26</x:v>
      </x:c>
      <x:c r="F610" s="60"/>
      <x:c r="G610" s="63"/>
      <x:c r="H610" s="63"/>
      <x:c r="I610" s="61" t="n">
        <x:v>44774.5</x:v>
      </x:c>
      <x:c r="J610" s="64" t="n">
        <x:f>IF(OR(I610="",X610=""),"",IFERROR(DATEDIF(I610,X610,"m")/12,""))</x:f>
        <x:v>4</x:v>
      </x:c>
      <x:c r="K610" s="60" t="str">
        <x:v>FLAT 2, 21-22 PRINCE OF WALES TERRACE, LONDON, W85PQ</x:v>
      </x:c>
      <x:c r="L610" s="60" t="str">
        <x:v> W85PQ</x:v>
      </x:c>
      <x:c r="M610" s="60"/>
      <x:c r="N610" s="60" t="str">
        <x:v>W85PQ</x:v>
      </x:c>
      <x:c r="O610" s="61" t="n">
        <x:v>43221.5</x:v>
      </x:c>
      <x:c r="P610" s="64" t="n">
        <x:f>IF(OR(O610="",I610=""),"",IFERROR(DATEDIF(O610,I610,"m")/12,""))</x:f>
        <x:v>4.25</x:v>
      </x:c>
      <x:c r="Q610" s="60" t="str">
        <x:v>7, TRANBY LODGE GARDENS, HESSLE, NORTH HUMBERSIDE, HU13 0TL</x:v>
      </x:c>
      <x:c r="R610" s="61" t="n">
        <x:v>43556.5</x:v>
      </x:c>
      <x:c r="S610" s="64" t="n">
        <x:f>IF(OR(R610="",X610=""),"",IFERROR(DATEDIF(R610,X610,"m")/12,""))</x:f>
        <x:v>7.333333333333333</x:v>
      </x:c>
      <x:c r="T610" s="60" t="str">
        <x:v>CHIEF EXECUTIVE OFFICER</x:v>
      </x:c>
      <x:c r="U610" s="60" t="str">
        <x:v>S.A.L. HOLDINGS LIMITED</x:v>
      </x:c>
      <x:c r="V610" s="60" t="str">
        <x:v>CAVENDISH HOUSE, 39-41 WATERLOO STREET, BIRMINGHAM, B2 5PP</x:v>
      </x:c>
      <x:c r="W610" s="63"/>
      <x:c r="X610" s="65" t="n">
        <x:f>TODAY()</x:f>
        <x:v>46250</x:v>
      </x:c>
    </x:row>
    <x:row r="611">
      <x:c r="A611" s="59" t="str">
        <x:v>RIGA</x:v>
      </x:c>
      <x:c r="B611" s="60" t="str">
        <x:v>MARIA</x:v>
      </x:c>
      <x:c r="C611" s="60"/>
      <x:c r="D611" s="61" t="n">
        <x:v>30980.5</x:v>
      </x:c>
      <x:c r="E611" s="62" t="n">
        <x:f>IF(OR(D611="",X611=""),"",IFERROR(DATEDIF(D611,X611,"y"),""))</x:f>
        <x:v>41</x:v>
      </x:c>
      <x:c r="F611" s="60"/>
      <x:c r="G611" s="63"/>
      <x:c r="H611" s="63"/>
      <x:c r="I611" s="61"/>
      <x:c r="J611" s="64" t="str">
        <x:f>IF(OR(I611="",X611=""),"",IFERROR(DATEDIF(I611,X611,"m")/12,""))</x:f>
      </x:c>
      <x:c r="K611" s="60" t="str">
        <x:v>6 NEVERN SQUARE, FLAT 3, LONDON, SWS 9NN</x:v>
      </x:c>
      <x:c r="L611" s="60" t="str">
        <x:v> SWS 9NN</x:v>
      </x:c>
      <x:c r="M611" s="60"/>
      <x:c r="N611" s="60" t="str">
        <x:v>SWS 9NN</x:v>
      </x:c>
      <x:c r="O611" s="61"/>
      <x:c r="P611" s="64" t="str">
        <x:f>IF(OR(O611="",I611=""),"",IFERROR(DATEDIF(O611,I611,"m")/12,""))</x:f>
      </x:c>
      <x:c r="Q611" s="60"/>
      <x:c r="R611" s="61"/>
      <x:c r="S611" s="64" t="str">
        <x:f>IF(OR(R611="",X611=""),"",IFERROR(DATEDIF(R611,X611,"m")/12,""))</x:f>
      </x:c>
      <x:c r="T611" s="60"/>
      <x:c r="U611" s="60"/>
      <x:c r="V611" s="60"/>
      <x:c r="W611" s="63"/>
      <x:c r="X611" s="65" t="n">
        <x:f>TODAY()</x:f>
        <x:v>46250</x:v>
      </x:c>
    </x:row>
    <x:row r="612">
      <x:c r="A612" s="59" t="str">
        <x:v>RIGDON</x:v>
      </x:c>
      <x:c r="B612" s="60" t="str">
        <x:v>DAVID</x:v>
      </x:c>
      <x:c r="C612" s="60" t="str">
        <x:v>EDWARD</x:v>
      </x:c>
      <x:c r="D612" s="61" t="n">
        <x:v>31743.5</x:v>
      </x:c>
      <x:c r="E612" s="62" t="n">
        <x:f>IF(OR(D612="",X612=""),"",IFERROR(DATEDIF(D612,X612,"y"),""))</x:f>
        <x:v>39</x:v>
      </x:c>
      <x:c r="F612" s="60" t="str">
        <x:v>THOMAS</x:v>
      </x:c>
      <x:c r="G612" s="63"/>
      <x:c r="H612" s="63"/>
      <x:c r="I612" s="61" t="n">
        <x:v>43282.5</x:v>
      </x:c>
      <x:c r="J612" s="64" t="n">
        <x:f>IF(OR(I612="",X612=""),"",IFERROR(DATEDIF(I612,X612,"m")/12,""))</x:f>
        <x:v>8.083333333333334</x:v>
      </x:c>
      <x:c r="K612" s="60" t="str">
        <x:v>61-63 GLOUCESTER TERRACE, LONDON, W23DH</x:v>
      </x:c>
      <x:c r="L612" s="60" t="str">
        <x:v> W23DH</x:v>
      </x:c>
      <x:c r="M612" s="60"/>
      <x:c r="N612" s="60" t="str">
        <x:v>W23DH</x:v>
      </x:c>
      <x:c r="O612" s="61"/>
      <x:c r="P612" s="64" t="str">
        <x:f>IF(OR(O612="",I612=""),"",IFERROR(DATEDIF(O612,I612,"m")/12,""))</x:f>
      </x:c>
      <x:c r="Q612" s="60"/>
      <x:c r="R612" s="61"/>
      <x:c r="S612" s="64" t="str">
        <x:f>IF(OR(R612="",X612=""),"",IFERROR(DATEDIF(R612,X612,"m")/12,""))</x:f>
      </x:c>
      <x:c r="T612" s="60"/>
      <x:c r="U612" s="60"/>
      <x:c r="V612" s="60"/>
      <x:c r="W612" s="63"/>
      <x:c r="X612" s="65" t="n">
        <x:f>TODAY()</x:f>
        <x:v>46250</x:v>
      </x:c>
    </x:row>
    <x:row r="613">
      <x:c r="A613" s="59" t="str">
        <x:v>RIZZO</x:v>
      </x:c>
      <x:c r="B613" s="60" t="str">
        <x:v>WILLY</x:v>
      </x:c>
      <x:c r="C613" s="60" t="str">
        <x:v>ANDRE CARLO</x:v>
      </x:c>
      <x:c r="D613" s="61" t="n">
        <x:v>31089.5</x:v>
      </x:c>
      <x:c r="E613" s="62" t="n">
        <x:f>IF(OR(D613="",X613=""),"",IFERROR(DATEDIF(D613,X613,"y"),""))</x:f>
        <x:v>41</x:v>
      </x:c>
      <x:c r="F613" s="60" t="str">
        <x:v>MARTINELLI</x:v>
      </x:c>
      <x:c r="G613" s="63"/>
      <x:c r="H613" s="63"/>
      <x:c r="I613" s="61"/>
      <x:c r="J613" s="64" t="str">
        <x:f>IF(OR(I613="",X613=""),"",IFERROR(DATEDIF(I613,X613,"m")/12,""))</x:f>
      </x:c>
      <x:c r="K613" s="60" t="str">
        <x:v>FLAT 3, 52 QUEENS GATE GARDENS LONDON, SW75NF</x:v>
      </x:c>
      <x:c r="L613" s="60" t="str">
        <x:v> SW75NF</x:v>
      </x:c>
      <x:c r="M613" s="60"/>
      <x:c r="N613" s="60" t="str">
        <x:v>SW75NF</x:v>
      </x:c>
      <x:c r="O613" s="61"/>
      <x:c r="P613" s="64" t="str">
        <x:f>IF(OR(O613="",I613=""),"",IFERROR(DATEDIF(O613,I613,"m")/12,""))</x:f>
      </x:c>
      <x:c r="Q613" s="60"/>
      <x:c r="R613" s="61"/>
      <x:c r="S613" s="64" t="str">
        <x:f>IF(OR(R613="",X613=""),"",IFERROR(DATEDIF(R613,X613,"m")/12,""))</x:f>
      </x:c>
      <x:c r="T613" s="60"/>
      <x:c r="U613" s="60"/>
      <x:c r="V613" s="60"/>
      <x:c r="W613" s="63"/>
      <x:c r="X613" s="65" t="n">
        <x:f>TODAY()</x:f>
        <x:v>46250</x:v>
      </x:c>
    </x:row>
    <x:row r="614">
      <x:c r="A614" s="59" t="str">
        <x:v>ROCCA</x:v>
      </x:c>
      <x:c r="B614" s="60" t="str">
        <x:v>ELEONORA</x:v>
      </x:c>
      <x:c r="C614" s="60"/>
      <x:c r="D614" s="61" t="n">
        <x:v>29252.5</x:v>
      </x:c>
      <x:c r="E614" s="62" t="n">
        <x:f>IF(OR(D614="",X614=""),"",IFERROR(DATEDIF(D614,X614,"y"),""))</x:f>
        <x:v>46</x:v>
      </x:c>
      <x:c r="F614" s="60"/>
      <x:c r="G614" s="63"/>
      <x:c r="H614" s="63"/>
      <x:c r="I614" s="61" t="n">
        <x:v>43678.5</x:v>
      </x:c>
      <x:c r="J614" s="64" t="n">
        <x:f>IF(OR(I614="",X614=""),"",IFERROR(DATEDIF(I614,X614,"m")/12,""))</x:f>
        <x:v>7</x:v>
      </x:c>
      <x:c r="K614" s="60" t="str">
        <x:v>FLAT 18, 163 CROMWELL ROD, LONDON, SW5 0SQ</x:v>
      </x:c>
      <x:c r="L614" s="60" t="str">
        <x:v> SW5 0SQ</x:v>
      </x:c>
      <x:c r="M614" s="60"/>
      <x:c r="N614" s="60" t="str">
        <x:v>SW5 0SQ</x:v>
      </x:c>
      <x:c r="O614" s="61" t="n">
        <x:v>42370.5</x:v>
      </x:c>
      <x:c r="P614" s="64" t="n">
        <x:f>IF(OR(O614="",I614=""),"",IFERROR(DATEDIF(O614,I614,"m")/12,""))</x:f>
        <x:v>3.5833333333333335</x:v>
      </x:c>
      <x:c r="Q614" s="60" t="str">
        <x:v>5 LANARK PLACE, LONDON, W9 1BT</x:v>
      </x:c>
      <x:c r="R614" s="61"/>
      <x:c r="S614" s="64" t="str">
        <x:f>IF(OR(R614="",X614=""),"",IFERROR(DATEDIF(R614,X614,"m")/12,""))</x:f>
      </x:c>
      <x:c r="T614" s="60"/>
      <x:c r="U614" s="60"/>
      <x:c r="V614" s="60"/>
      <x:c r="W614" s="63"/>
      <x:c r="X614" s="65" t="n">
        <x:f>TODAY()</x:f>
        <x:v>46250</x:v>
      </x:c>
    </x:row>
    <x:row r="615">
      <x:c r="A615" s="59" t="str">
        <x:v>RODRIGUES</x:v>
      </x:c>
      <x:c r="B615" s="60" t="str">
        <x:v>ANTONIO</x:v>
      </x:c>
      <x:c r="C615" s="60"/>
      <x:c r="D615" s="61"/>
      <x:c r="E615" s="62" t="str">
        <x:f>IF(OR(D615="",X615=""),"",IFERROR(DATEDIF(D615,X615,"y"),""))</x:f>
      </x:c>
      <x:c r="F615" s="60"/>
      <x:c r="G615" s="63"/>
      <x:c r="H615" s="63"/>
      <x:c r="I615" s="61"/>
      <x:c r="J615" s="64" t="str">
        <x:f>IF(OR(I615="",X615=""),"",IFERROR(DATEDIF(I615,X615,"m")/12,""))</x:f>
      </x:c>
      <x:c r="K615" s="60" t="str">
        <x:v>FLAT 5,
5 SOUTHWELL GARDENS, LONDON,
SW7 4S8</x:v>
      </x:c>
      <x:c r="L615" s="60" t="str">
        <x:v>
SW7 4S8</x:v>
      </x:c>
      <x:c r="M615" s="60"/>
      <x:c r="N615" s="60" t="str">
        <x:v>SW7 4S8</x:v>
      </x:c>
      <x:c r="O615" s="61"/>
      <x:c r="P615" s="64" t="str">
        <x:f>IF(OR(O615="",I615=""),"",IFERROR(DATEDIF(O615,I615,"m")/12,""))</x:f>
      </x:c>
      <x:c r="Q615" s="60"/>
      <x:c r="R615" s="61"/>
      <x:c r="S615" s="64" t="str">
        <x:f>IF(OR(R615="",X615=""),"",IFERROR(DATEDIF(R615,X615,"m")/12,""))</x:f>
      </x:c>
      <x:c r="T615" s="60"/>
      <x:c r="U615" s="60"/>
      <x:c r="V615" s="60"/>
      <x:c r="W615" s="63"/>
      <x:c r="X615" s="65" t="n">
        <x:f>TODAY()</x:f>
        <x:v>46250</x:v>
      </x:c>
    </x:row>
    <x:row r="616">
      <x:c r="A616" s="59" t="str">
        <x:v>RODRIGUEZ HUERTAS</x:v>
      </x:c>
      <x:c r="B616" s="60" t="str">
        <x:v>FRANCISCO</x:v>
      </x:c>
      <x:c r="C616" s="60" t="str">
        <x:v>JAVIER</x:v>
      </x:c>
      <x:c r="D616" s="61" t="n">
        <x:v>27596.5</x:v>
      </x:c>
      <x:c r="E616" s="62" t="n">
        <x:f>IF(OR(D616="",X616=""),"",IFERROR(DATEDIF(D616,X616,"y"),""))</x:f>
        <x:v>51</x:v>
      </x:c>
      <x:c r="F616" s="60" t="str">
        <x:v>RODRIGUEZ</x:v>
      </x:c>
      <x:c r="G616" s="63"/>
      <x:c r="H616" s="63"/>
      <x:c r="I616" s="61" t="n">
        <x:v>41548.5</x:v>
      </x:c>
      <x:c r="J616" s="64" t="n">
        <x:f>IF(OR(I616="",X616=""),"",IFERROR(DATEDIF(I616,X616,"m")/12,""))</x:f>
        <x:v>12.833333333333334</x:v>
      </x:c>
      <x:c r="K616" s="60" t="str">
        <x:v>FLAT 3, 45 BREWER STREET, LONDON W1F 9UE</x:v>
      </x:c>
      <x:c r="L616" s="60"/>
      <x:c r="M616" s="60"/>
      <x:c r="N616" s="60"/>
      <x:c r="O616" s="61"/>
      <x:c r="P616" s="64" t="str">
        <x:f>IF(OR(O616="",I616=""),"",IFERROR(DATEDIF(O616,I616,"m")/12,""))</x:f>
      </x:c>
      <x:c r="Q616" s="60"/>
      <x:c r="R616" s="61"/>
      <x:c r="S616" s="64" t="str">
        <x:f>IF(OR(R616="",X616=""),"",IFERROR(DATEDIF(R616,X616,"m")/12,""))</x:f>
      </x:c>
      <x:c r="T616" s="60"/>
      <x:c r="U616" s="60"/>
      <x:c r="V616" s="60"/>
      <x:c r="W616" s="63"/>
      <x:c r="X616" s="65" t="n">
        <x:f>TODAY()</x:f>
        <x:v>46250</x:v>
      </x:c>
    </x:row>
    <x:row r="617">
      <x:c r="A617" s="59" t="str">
        <x:v>RODWELL</x:v>
      </x:c>
      <x:c r="B617" s="60" t="str">
        <x:v>MARK</x:v>
      </x:c>
      <x:c r="C617" s="60" t="str">
        <x:v>JOHN</x:v>
      </x:c>
      <x:c r="D617" s="61" t="n">
        <x:v>24025.5</x:v>
      </x:c>
      <x:c r="E617" s="62" t="n">
        <x:f>IF(OR(D617="",X617=""),"",IFERROR(DATEDIF(D617,X617,"y"),""))</x:f>
        <x:v>60</x:v>
      </x:c>
      <x:c r="F617" s="60"/>
      <x:c r="G617" s="63"/>
      <x:c r="H617" s="63"/>
      <x:c r="I617" s="61" t="n">
        <x:v>40057.5</x:v>
      </x:c>
      <x:c r="J617" s="64" t="n">
        <x:f>IF(OR(I617="",X617=""),"",IFERROR(DATEDIF(I617,X617,"m")/12,""))</x:f>
        <x:v>16.916666666666668</x:v>
      </x:c>
      <x:c r="K617" s="60" t="str">
        <x:v>FLAT G, 19, EARL'S COURT SQUARE, LONDON, LONDON, SW5 9BY</x:v>
      </x:c>
      <x:c r="L617" s="60" t="str">
        <x:v> LONDON, SW5 9BY</x:v>
      </x:c>
      <x:c r="M617" s="60"/>
      <x:c r="N617" s="60" t="str">
        <x:v> SW5 9BY</x:v>
      </x:c>
      <x:c r="O617" s="61"/>
      <x:c r="P617" s="64" t="str">
        <x:f>IF(OR(O617="",I617=""),"",IFERROR(DATEDIF(O617,I617,"m")/12,""))</x:f>
      </x:c>
      <x:c r="Q617" s="60"/>
      <x:c r="R617" s="61"/>
      <x:c r="S617" s="64" t="str">
        <x:f>IF(OR(R617="",X617=""),"",IFERROR(DATEDIF(R617,X617,"m")/12,""))</x:f>
      </x:c>
      <x:c r="T617" s="60"/>
      <x:c r="U617" s="60"/>
      <x:c r="V617" s="60"/>
      <x:c r="W617" s="63"/>
      <x:c r="X617" s="65" t="n">
        <x:f>TODAY()</x:f>
        <x:v>46250</x:v>
      </x:c>
    </x:row>
    <x:row r="618">
      <x:c r="A618" s="59" t="str">
        <x:v>ROIBINSON</x:v>
      </x:c>
      <x:c r="B618" s="60" t="str">
        <x:v>JOSEPH</x:v>
      </x:c>
      <x:c r="C618" s="60" t="str">
        <x:v>WILLIAM</x:v>
      </x:c>
      <x:c r="D618" s="61" t="n">
        <x:v>30744.5</x:v>
      </x:c>
      <x:c r="E618" s="62" t="n">
        <x:f>IF(OR(D618="",X618=""),"",IFERROR(DATEDIF(D618,X618,"y"),""))</x:f>
        <x:v>42</x:v>
      </x:c>
      <x:c r="F618" s="60"/>
      <x:c r="G618" s="63"/>
      <x:c r="H618" s="63"/>
      <x:c r="I618" s="61"/>
      <x:c r="J618" s="64" t="str">
        <x:f>IF(OR(I618="",X618=""),"",IFERROR(DATEDIF(I618,X618,"m")/12,""))</x:f>
      </x:c>
      <x:c r="K618" s="60"/>
      <x:c r="L618" s="60"/>
      <x:c r="M618" s="60"/>
      <x:c r="N618" s="60"/>
      <x:c r="O618" s="61"/>
      <x:c r="P618" s="64" t="str">
        <x:f>IF(OR(O618="",I618=""),"",IFERROR(DATEDIF(O618,I618,"m")/12,""))</x:f>
      </x:c>
      <x:c r="Q618" s="60"/>
      <x:c r="R618" s="61"/>
      <x:c r="S618" s="64" t="str">
        <x:f>IF(OR(R618="",X618=""),"",IFERROR(DATEDIF(R618,X618,"m")/12,""))</x:f>
      </x:c>
      <x:c r="T618" s="60"/>
      <x:c r="U618" s="60"/>
      <x:c r="V618" s="60"/>
      <x:c r="W618" s="63"/>
      <x:c r="X618" s="65" t="n">
        <x:f>TODAY()</x:f>
        <x:v>46250</x:v>
      </x:c>
    </x:row>
    <x:row r="619">
      <x:c r="A619" s="59" t="str">
        <x:v>ROITMAN</x:v>
      </x:c>
      <x:c r="B619" s="60" t="str">
        <x:v>GABRIEL</x:v>
      </x:c>
      <x:c r="C619" s="60" t="str">
        <x:v>ERNESTO</x:v>
      </x:c>
      <x:c r="D619" s="61" t="n">
        <x:v>26253.5</x:v>
      </x:c>
      <x:c r="E619" s="62" t="n">
        <x:f>IF(OR(D619="",X619=""),"",IFERROR(DATEDIF(D619,X619,"y"),""))</x:f>
        <x:v>54</x:v>
      </x:c>
      <x:c r="F619" s="60"/>
      <x:c r="G619" s="63"/>
      <x:c r="H619" s="63"/>
      <x:c r="I619" s="61"/>
      <x:c r="J619" s="64" t="str">
        <x:f>IF(OR(I619="",X619=""),"",IFERROR(DATEDIF(I619,X619,"m")/12,""))</x:f>
      </x:c>
      <x:c r="K619" s="60"/>
      <x:c r="L619" s="60"/>
      <x:c r="M619" s="60"/>
      <x:c r="N619" s="60"/>
      <x:c r="O619" s="61"/>
      <x:c r="P619" s="64" t="str">
        <x:f>IF(OR(O619="",I619=""),"",IFERROR(DATEDIF(O619,I619,"m")/12,""))</x:f>
      </x:c>
      <x:c r="Q619" s="60"/>
      <x:c r="R619" s="61"/>
      <x:c r="S619" s="64" t="str">
        <x:f>IF(OR(R619="",X619=""),"",IFERROR(DATEDIF(R619,X619,"m")/12,""))</x:f>
      </x:c>
      <x:c r="T619" s="60"/>
      <x:c r="U619" s="60"/>
      <x:c r="V619" s="60"/>
      <x:c r="W619" s="63"/>
      <x:c r="X619" s="65" t="n">
        <x:f>TODAY()</x:f>
        <x:v>46250</x:v>
      </x:c>
    </x:row>
    <x:row r="620">
      <x:c r="A620" s="59" t="str">
        <x:v>ROJ</x:v>
      </x:c>
      <x:c r="B620" s="60" t="str">
        <x:v>MIKOLAJ</x:v>
      </x:c>
      <x:c r="C620" s="60"/>
      <x:c r="D620" s="61" t="n">
        <x:v>30141.5</x:v>
      </x:c>
      <x:c r="E620" s="62" t="n">
        <x:f>IF(OR(D620="",X620=""),"",IFERROR(DATEDIF(D620,X620,"y"),""))</x:f>
        <x:v>44</x:v>
      </x:c>
      <x:c r="F620" s="60"/>
      <x:c r="G620" s="63"/>
      <x:c r="H620" s="63"/>
      <x:c r="I620" s="61"/>
      <x:c r="J620" s="64" t="str">
        <x:f>IF(OR(I620="",X620=""),"",IFERROR(DATEDIF(I620,X620,"m")/12,""))</x:f>
      </x:c>
      <x:c r="K620" s="60" t="str">
        <x:v>61-63 GLOUCESTER TERRACE, LONDON, W23DH</x:v>
      </x:c>
      <x:c r="L620" s="60" t="str">
        <x:v> W23DH</x:v>
      </x:c>
      <x:c r="M620" s="60"/>
      <x:c r="N620" s="60" t="str">
        <x:v>W23DH</x:v>
      </x:c>
      <x:c r="O620" s="61"/>
      <x:c r="P620" s="64" t="str">
        <x:f>IF(OR(O620="",I620=""),"",IFERROR(DATEDIF(O620,I620,"m")/12,""))</x:f>
      </x:c>
      <x:c r="Q620" s="60"/>
      <x:c r="R620" s="61"/>
      <x:c r="S620" s="64" t="str">
        <x:f>IF(OR(R620="",X620=""),"",IFERROR(DATEDIF(R620,X620,"m")/12,""))</x:f>
      </x:c>
      <x:c r="T620" s="60"/>
      <x:c r="U620" s="60"/>
      <x:c r="V620" s="60"/>
      <x:c r="W620" s="63"/>
      <x:c r="X620" s="65" t="n">
        <x:f>TODAY()</x:f>
        <x:v>46250</x:v>
      </x:c>
    </x:row>
    <x:row r="621">
      <x:c r="A621" s="59" t="str">
        <x:v>ROKOS-CASTILLO</x:v>
      </x:c>
      <x:c r="B621" s="60" t="str">
        <x:v>CLARA</x:v>
      </x:c>
      <x:c r="C621" s="60" t="str">
        <x:v>ELIZABETH</x:v>
      </x:c>
      <x:c r="D621" s="61"/>
      <x:c r="E621" s="62" t="str">
        <x:f>IF(OR(D621="",X621=""),"",IFERROR(DATEDIF(D621,X621,"y"),""))</x:f>
      </x:c>
      <x:c r="F621" s="60"/>
      <x:c r="G621" s="63"/>
      <x:c r="H621" s="63"/>
      <x:c r="I621" s="61"/>
      <x:c r="J621" s="64" t="str">
        <x:f>IF(OR(I621="",X621=""),"",IFERROR(DATEDIF(I621,X621,"m")/12,""))</x:f>
      </x:c>
      <x:c r="K621" s="60"/>
      <x:c r="L621" s="60"/>
      <x:c r="M621" s="60"/>
      <x:c r="N621" s="60"/>
      <x:c r="O621" s="61"/>
      <x:c r="P621" s="64" t="str">
        <x:f>IF(OR(O621="",I621=""),"",IFERROR(DATEDIF(O621,I621,"m")/12,""))</x:f>
      </x:c>
      <x:c r="Q621" s="60"/>
      <x:c r="R621" s="61"/>
      <x:c r="S621" s="64" t="str">
        <x:f>IF(OR(R621="",X621=""),"",IFERROR(DATEDIF(R621,X621,"m")/12,""))</x:f>
      </x:c>
      <x:c r="T621" s="60"/>
      <x:c r="U621" s="60"/>
      <x:c r="V621" s="60"/>
      <x:c r="W621" s="63" t="str">
        <x:v>0207 234 2991</x:v>
      </x:c>
      <x:c r="X621" s="65" t="n">
        <x:f>TODAY()</x:f>
        <x:v>46250</x:v>
      </x:c>
    </x:row>
    <x:row r="622">
      <x:c r="A622" s="59" t="str">
        <x:v>ROLAZ</x:v>
      </x:c>
      <x:c r="B622" s="60" t="str">
        <x:v>CHARLES</x:v>
      </x:c>
      <x:c r="C622" s="60"/>
      <x:c r="D622" s="61" t="n">
        <x:v>22388.5</x:v>
      </x:c>
      <x:c r="E622" s="62" t="n">
        <x:f>IF(OR(D622="",X622=""),"",IFERROR(DATEDIF(D622,X622,"y"),""))</x:f>
        <x:v>65</x:v>
      </x:c>
      <x:c r="F622" s="60"/>
      <x:c r="G622" s="63" t="str">
        <x:v>07983893763</x:v>
      </x:c>
      <x:c r="H622" s="63"/>
      <x:c r="I622" s="61"/>
      <x:c r="J622" s="64" t="str">
        <x:f>IF(OR(I622="",X622=""),"",IFERROR(DATEDIF(I622,X622,"m")/12,""))</x:f>
      </x:c>
      <x:c r="K622" s="60" t="str">
        <x:v>FLAT 6, 47 CLANRICARDE GARDENS, LONDON, W2 4JN</x:v>
      </x:c>
      <x:c r="L622" s="60" t="str">
        <x:v> W2 4JN</x:v>
      </x:c>
      <x:c r="M622" s="60"/>
      <x:c r="N622" s="60" t="str">
        <x:v>W2 4JN</x:v>
      </x:c>
      <x:c r="O622" s="61"/>
      <x:c r="P622" s="64" t="str">
        <x:f>IF(OR(O622="",I622=""),"",IFERROR(DATEDIF(O622,I622,"m")/12,""))</x:f>
      </x:c>
      <x:c r="Q622" s="60"/>
      <x:c r="R622" s="61"/>
      <x:c r="S622" s="64" t="str">
        <x:f>IF(OR(R622="",X622=""),"",IFERROR(DATEDIF(R622,X622,"m")/12,""))</x:f>
      </x:c>
      <x:c r="T622" s="60"/>
      <x:c r="U622" s="60"/>
      <x:c r="V622" s="60"/>
      <x:c r="W622" s="63"/>
      <x:c r="X622" s="65" t="n">
        <x:f>TODAY()</x:f>
        <x:v>46250</x:v>
      </x:c>
    </x:row>
    <x:row r="623">
      <x:c r="A623" s="59" t="str">
        <x:v>ROLDAN ARRELANO</x:v>
      </x:c>
      <x:c r="B623" s="60" t="str">
        <x:v>MARIA</x:v>
      </x:c>
      <x:c r="C623" s="60" t="str">
        <x:v>DESIREE</x:v>
      </x:c>
      <x:c r="D623" s="61" t="n">
        <x:v>28795.5</x:v>
      </x:c>
      <x:c r="E623" s="62" t="n">
        <x:f>IF(OR(D623="",X623=""),"",IFERROR(DATEDIF(D623,X623,"y"),""))</x:f>
        <x:v>47</x:v>
      </x:c>
      <x:c r="F623" s="60" t="str">
        <x:v>ARELLANO</x:v>
      </x:c>
      <x:c r="G623" s="63"/>
      <x:c r="H623" s="63" t="str">
        <x:v>SE863769B</x:v>
      </x:c>
      <x:c r="I623" s="61" t="n">
        <x:v>43497.5</x:v>
      </x:c>
      <x:c r="J623" s="64" t="n">
        <x:f>IF(OR(I623="",X623=""),"",IFERROR(DATEDIF(I623,X623,"m")/12,""))</x:f>
        <x:v>7.5</x:v>
      </x:c>
      <x:c r="K623" s="60" t="str">
        <x:v>FLAT 5, 288/290, FULHAM ROAD, WEST BROMPTON, LONDON, SW10 9EW</x:v>
      </x:c>
      <x:c r="L623" s="60" t="str">
        <x:v> SW10 9EW</x:v>
      </x:c>
      <x:c r="M623" s="60"/>
      <x:c r="N623" s="60" t="str">
        <x:v>SW10 9EW</x:v>
      </x:c>
      <x:c r="O623" s="61" t="n">
        <x:v>43101.5</x:v>
      </x:c>
      <x:c r="P623" s="64" t="n">
        <x:f>IF(OR(O623="",I623=""),"",IFERROR(DATEDIF(O623,I623,"m")/12,""))</x:f>
        <x:v>1.0833333333333333</x:v>
      </x:c>
      <x:c r="Q623" s="60" t="str">
        <x:v>224 GUNTER GROVE, WEST BROMPTON, LONDON, SW10 0UJ</x:v>
      </x:c>
      <x:c r="R623" s="61"/>
      <x:c r="S623" s="64" t="str">
        <x:f>IF(OR(R623="",X623=""),"",IFERROR(DATEDIF(R623,X623,"m")/12,""))</x:f>
      </x:c>
      <x:c r="T623" s="60"/>
      <x:c r="U623" s="60"/>
      <x:c r="V623" s="60"/>
      <x:c r="W623" s="63"/>
      <x:c r="X623" s="65" t="n">
        <x:f>TODAY()</x:f>
        <x:v>46250</x:v>
      </x:c>
    </x:row>
    <x:row r="624">
      <x:c r="A624" s="59" t="str">
        <x:v>ROLIM</x:v>
      </x:c>
      <x:c r="B624" s="60" t="str">
        <x:v>AIRTON</x:v>
      </x:c>
      <x:c r="C624" s="60" t="str">
        <x:v>BATISTA</x:v>
      </x:c>
      <x:c r="D624" s="61" t="n">
        <x:v>30947.5</x:v>
      </x:c>
      <x:c r="E624" s="62" t="n">
        <x:f>IF(OR(D624="",X624=""),"",IFERROR(DATEDIF(D624,X624,"y"),""))</x:f>
        <x:v>41</x:v>
      </x:c>
      <x:c r="F624" s="60"/>
      <x:c r="G624" s="63"/>
      <x:c r="H624" s="63"/>
      <x:c r="I624" s="61" t="n">
        <x:v>44166.5</x:v>
      </x:c>
      <x:c r="J624" s="64" t="n">
        <x:f>IF(OR(I624="",X624=""),"",IFERROR(DATEDIF(I624,X624,"m")/12,""))</x:f>
        <x:v>5.666666666666667</x:v>
      </x:c>
      <x:c r="K624" s="60" t="str">
        <x:v>FLAT 6 RUTLAND COURT 21-23 DRAYCOTT PLACE LONDON SW3 2SQ</x:v>
      </x:c>
      <x:c r="L624" s="60"/>
      <x:c r="M624" s="60"/>
      <x:c r="N624" s="60"/>
      <x:c r="O624" s="61" t="n">
        <x:v>43586.5</x:v>
      </x:c>
      <x:c r="P624" s="64" t="n">
        <x:f>IF(OR(O624="",I624=""),"",IFERROR(DATEDIF(O624,I624,"m")/12,""))</x:f>
        <x:v>1.5833333333333333</x:v>
      </x:c>
      <x:c r="Q624" s="60" t="str">
        <x:v>42A OAKLEY STREET LONDON SW3 5HA</x:v>
      </x:c>
      <x:c r="R624" s="61"/>
      <x:c r="S624" s="64" t="str">
        <x:f>IF(OR(R624="",X624=""),"",IFERROR(DATEDIF(R624,X624,"m")/12,""))</x:f>
      </x:c>
      <x:c r="T624" s="60"/>
      <x:c r="U624" s="60"/>
      <x:c r="V624" s="60"/>
      <x:c r="W624" s="63"/>
      <x:c r="X624" s="65" t="n">
        <x:f>TODAY()</x:f>
        <x:v>46250</x:v>
      </x:c>
    </x:row>
    <x:row r="625">
      <x:c r="A625" s="59" t="str">
        <x:v>ROLLMAN</x:v>
      </x:c>
      <x:c r="B625" s="60" t="str">
        <x:v>ROBERT</x:v>
      </x:c>
      <x:c r="C625" s="60" t="str">
        <x:v>JOHN</x:v>
      </x:c>
      <x:c r="D625" s="61" t="n">
        <x:v>25574.5</x:v>
      </x:c>
      <x:c r="E625" s="62" t="n">
        <x:f>IF(OR(D625="",X625=""),"",IFERROR(DATEDIF(D625,X625,"y"),""))</x:f>
        <x:v>56</x:v>
      </x:c>
      <x:c r="F625" s="60"/>
      <x:c r="G625" s="63"/>
      <x:c r="H625" s="63"/>
      <x:c r="I625" s="61"/>
      <x:c r="J625" s="64" t="str">
        <x:f>IF(OR(I625="",X625=""),"",IFERROR(DATEDIF(I625,X625,"m")/12,""))</x:f>
      </x:c>
      <x:c r="K625" s="60" t="str">
        <x:v>FLAT 4C, 2 CRAVEN HILL GARDENS, LONDON, W2 3ES</x:v>
      </x:c>
      <x:c r="L625" s="60" t="str">
        <x:v> W2 3ES</x:v>
      </x:c>
      <x:c r="M625" s="60"/>
      <x:c r="N625" s="60" t="str">
        <x:v>W2 3ES</x:v>
      </x:c>
      <x:c r="O625" s="61"/>
      <x:c r="P625" s="64" t="str">
        <x:f>IF(OR(O625="",I625=""),"",IFERROR(DATEDIF(O625,I625,"m")/12,""))</x:f>
      </x:c>
      <x:c r="Q625" s="60"/>
      <x:c r="R625" s="61"/>
      <x:c r="S625" s="64" t="str">
        <x:f>IF(OR(R625="",X625=""),"",IFERROR(DATEDIF(R625,X625,"m")/12,""))</x:f>
      </x:c>
      <x:c r="T625" s="60"/>
      <x:c r="U625" s="60"/>
      <x:c r="V625" s="60"/>
      <x:c r="W625" s="63"/>
      <x:c r="X625" s="65" t="n">
        <x:f>TODAY()</x:f>
        <x:v>46250</x:v>
      </x:c>
    </x:row>
    <x:row r="626">
      <x:c r="A626" s="59" t="str">
        <x:v>ROMERO MARTINEZ</x:v>
      </x:c>
      <x:c r="B626" s="60" t="str">
        <x:v>IGNACIO</x:v>
      </x:c>
      <x:c r="C626" s="60"/>
      <x:c r="D626" s="61" t="n">
        <x:v>29897.5</x:v>
      </x:c>
      <x:c r="E626" s="62" t="n">
        <x:f>IF(OR(D626="",X626=""),"",IFERROR(DATEDIF(D626,X626,"y"),""))</x:f>
        <x:v>44</x:v>
      </x:c>
      <x:c r="F626" s="60"/>
      <x:c r="G626" s="63"/>
      <x:c r="H626" s="63"/>
      <x:c r="I626" s="61" t="n">
        <x:v>45231.5</x:v>
      </x:c>
      <x:c r="J626" s="64" t="n">
        <x:f>IF(OR(I626="",X626=""),"",IFERROR(DATEDIF(I626,X626,"m")/12,""))</x:f>
        <x:v>2.75</x:v>
      </x:c>
      <x:c r="K626" s="60" t="str">
        <x:v>92 WESTBOURNE TERRACE, LONDON, W2 6WE</x:v>
      </x:c>
      <x:c r="L626" s="60" t="str">
        <x:v> W2 6WE</x:v>
      </x:c>
      <x:c r="M626" s="60"/>
      <x:c r="N626" s="60" t="str">
        <x:v>W2 6WE</x:v>
      </x:c>
      <x:c r="O626" s="61" t="n">
        <x:v>42491.5</x:v>
      </x:c>
      <x:c r="P626" s="64" t="n">
        <x:f>IF(OR(O626="",I626=""),"",IFERROR(DATEDIF(O626,I626,"m")/12,""))</x:f>
        <x:v>7.5</x:v>
      </x:c>
      <x:c r="Q626" s="60" t="str">
        <x:v>153A, HARVIST ROAD, LONDON, NW6 6HB</x:v>
      </x:c>
      <x:c r="R626" s="61"/>
      <x:c r="S626" s="64" t="str">
        <x:f>IF(OR(R626="",X626=""),"",IFERROR(DATEDIF(R626,X626,"m")/12,""))</x:f>
      </x:c>
      <x:c r="T626" s="60"/>
      <x:c r="U626" s="60"/>
      <x:c r="V626" s="60"/>
      <x:c r="W626" s="63"/>
      <x:c r="X626" s="65" t="n">
        <x:f>TODAY()</x:f>
        <x:v>46250</x:v>
      </x:c>
    </x:row>
    <x:row r="627">
      <x:c r="A627" s="59" t="str">
        <x:v>ROPER</x:v>
      </x:c>
      <x:c r="B627" s="60" t="str">
        <x:v>ASHLEY</x:v>
      </x:c>
      <x:c r="C627" s="60" t="str">
        <x:v>JUSTIN</x:v>
      </x:c>
      <x:c r="D627" s="61"/>
      <x:c r="E627" s="62" t="str">
        <x:f>IF(OR(D627="",X627=""),"",IFERROR(DATEDIF(D627,X627,"y"),""))</x:f>
      </x:c>
      <x:c r="F627" s="60"/>
      <x:c r="G627" s="63"/>
      <x:c r="H627" s="63"/>
      <x:c r="I627" s="61"/>
      <x:c r="J627" s="64" t="str">
        <x:f>IF(OR(I627="",X627=""),"",IFERROR(DATEDIF(I627,X627,"m")/12,""))</x:f>
      </x:c>
      <x:c r="K627" s="60"/>
      <x:c r="L627" s="60"/>
      <x:c r="M627" s="60"/>
      <x:c r="N627" s="60"/>
      <x:c r="O627" s="61"/>
      <x:c r="P627" s="64" t="str">
        <x:f>IF(OR(O627="",I627=""),"",IFERROR(DATEDIF(O627,I627,"m")/12,""))</x:f>
      </x:c>
      <x:c r="Q627" s="60"/>
      <x:c r="R627" s="61"/>
      <x:c r="S627" s="64" t="str">
        <x:f>IF(OR(R627="",X627=""),"",IFERROR(DATEDIF(R627,X627,"m")/12,""))</x:f>
      </x:c>
      <x:c r="T627" s="60"/>
      <x:c r="U627" s="60"/>
      <x:c r="V627" s="60"/>
      <x:c r="W627" s="63"/>
      <x:c r="X627" s="65" t="n">
        <x:f>TODAY()</x:f>
        <x:v>46250</x:v>
      </x:c>
    </x:row>
    <x:row r="628">
      <x:c r="A628" s="59" t="str">
        <x:v>ROSENTHAL</x:v>
      </x:c>
      <x:c r="B628" s="60" t="str">
        <x:v>VICTOR</x:v>
      </x:c>
      <x:c r="C628" s="60"/>
      <x:c r="D628" s="61" t="n">
        <x:v>33898.5</x:v>
      </x:c>
      <x:c r="E628" s="62" t="n">
        <x:f>IF(OR(D628="",X628=""),"",IFERROR(DATEDIF(D628,X628,"y"),""))</x:f>
        <x:v>33</x:v>
      </x:c>
      <x:c r="F628" s="60"/>
      <x:c r="G628" s="63"/>
      <x:c r="H628" s="63"/>
      <x:c r="I628" s="61"/>
      <x:c r="J628" s="64" t="str">
        <x:f>IF(OR(I628="",X628=""),"",IFERROR(DATEDIF(I628,X628,"m")/12,""))</x:f>
      </x:c>
      <x:c r="K628" s="60" t="str">
        <x:v>1 BARKER STREET, LONDON, SW10 9EN</x:v>
      </x:c>
      <x:c r="L628" s="60" t="str">
        <x:v> SW10 9EN</x:v>
      </x:c>
      <x:c r="M628" s="60"/>
      <x:c r="N628" s="60" t="str">
        <x:v>SW10 9EN</x:v>
      </x:c>
      <x:c r="O628" s="61"/>
      <x:c r="P628" s="64" t="str">
        <x:f>IF(OR(O628="",I628=""),"",IFERROR(DATEDIF(O628,I628,"m")/12,""))</x:f>
      </x:c>
      <x:c r="Q628" s="60"/>
      <x:c r="R628" s="61"/>
      <x:c r="S628" s="64" t="str">
        <x:f>IF(OR(R628="",X628=""),"",IFERROR(DATEDIF(R628,X628,"m")/12,""))</x:f>
      </x:c>
      <x:c r="T628" s="60"/>
      <x:c r="U628" s="60"/>
      <x:c r="V628" s="60"/>
      <x:c r="W628" s="63"/>
      <x:c r="X628" s="65" t="n">
        <x:f>TODAY()</x:f>
        <x:v>46250</x:v>
      </x:c>
    </x:row>
    <x:row r="629">
      <x:c r="A629" s="59" t="str">
        <x:v>ROSITANI</x:v>
      </x:c>
      <x:c r="B629" s="60" t="str">
        <x:v>CARLO</x:v>
      </x:c>
      <x:c r="C629" s="60" t="str">
        <x:v>ANTONIO</x:v>
      </x:c>
      <x:c r="D629" s="61" t="n">
        <x:v>35782.5</x:v>
      </x:c>
      <x:c r="E629" s="62" t="n">
        <x:f>IF(OR(D629="",X629=""),"",IFERROR(DATEDIF(D629,X629,"y"),""))</x:f>
        <x:v>28</x:v>
      </x:c>
      <x:c r="F629" s="60"/>
      <x:c r="G629" s="63"/>
      <x:c r="H629" s="63"/>
      <x:c r="I629" s="61" t="n">
        <x:v>44927.5</x:v>
      </x:c>
      <x:c r="J629" s="64" t="n">
        <x:f>IF(OR(I629="",X629=""),"",IFERROR(DATEDIF(I629,X629,"m")/12,""))</x:f>
        <x:v>3.5833333333333335</x:v>
      </x:c>
      <x:c r="K629" s="60" t="str">
        <x:v>FLAT 8, 75 GLOUCESTER TERRACE LONDON, W2 3DH</x:v>
      </x:c>
      <x:c r="L629" s="60" t="str">
        <x:v> W2 3DH</x:v>
      </x:c>
      <x:c r="M629" s="60"/>
      <x:c r="N629" s="60" t="str">
        <x:v>W2 3DH</x:v>
      </x:c>
      <x:c r="O629" s="61"/>
      <x:c r="P629" s="64" t="str">
        <x:f>IF(OR(O629="",I629=""),"",IFERROR(DATEDIF(O629,I629,"m")/12,""))</x:f>
      </x:c>
      <x:c r="Q629" s="60"/>
      <x:c r="R629" s="61"/>
      <x:c r="S629" s="64" t="str">
        <x:f>IF(OR(R629="",X629=""),"",IFERROR(DATEDIF(R629,X629,"m")/12,""))</x:f>
      </x:c>
      <x:c r="T629" s="60"/>
      <x:c r="U629" s="60"/>
      <x:c r="V629" s="60"/>
      <x:c r="W629" s="63"/>
      <x:c r="X629" s="65" t="n">
        <x:f>TODAY()</x:f>
        <x:v>46250</x:v>
      </x:c>
    </x:row>
    <x:row r="630">
      <x:c r="A630" s="59" t="str">
        <x:v>RUDLOFF</x:v>
      </x:c>
      <x:c r="B630" s="60" t="str">
        <x:v>LAUREN</x:v>
      </x:c>
      <x:c r="C630" s="60"/>
      <x:c r="D630" s="61" t="n">
        <x:v>35702.5</x:v>
      </x:c>
      <x:c r="E630" s="62" t="n">
        <x:f>IF(OR(D630="",X630=""),"",IFERROR(DATEDIF(D630,X630,"y"),""))</x:f>
        <x:v>28</x:v>
      </x:c>
      <x:c r="F630" s="60"/>
      <x:c r="G630" s="63"/>
      <x:c r="H630" s="63"/>
      <x:c r="I630" s="61"/>
      <x:c r="J630" s="64" t="str">
        <x:f>IF(OR(I630="",X630=""),"",IFERROR(DATEDIF(I630,X630,"m")/12,""))</x:f>
      </x:c>
      <x:c r="K630" s="60"/>
      <x:c r="L630" s="60"/>
      <x:c r="M630" s="60"/>
      <x:c r="N630" s="60"/>
      <x:c r="O630" s="61"/>
      <x:c r="P630" s="64" t="str">
        <x:f>IF(OR(O630="",I630=""),"",IFERROR(DATEDIF(O630,I630,"m")/12,""))</x:f>
      </x:c>
      <x:c r="Q630" s="60"/>
      <x:c r="R630" s="61"/>
      <x:c r="S630" s="64" t="str">
        <x:f>IF(OR(R630="",X630=""),"",IFERROR(DATEDIF(R630,X630,"m")/12,""))</x:f>
      </x:c>
      <x:c r="T630" s="60"/>
      <x:c r="U630" s="60"/>
      <x:c r="V630" s="60"/>
      <x:c r="W630" s="63"/>
      <x:c r="X630" s="65" t="n">
        <x:f>TODAY()</x:f>
        <x:v>46250</x:v>
      </x:c>
    </x:row>
    <x:row r="631">
      <x:c r="A631" s="59" t="str">
        <x:v>RUSSEL</x:v>
      </x:c>
      <x:c r="B631" s="60" t="str">
        <x:v>GEOFFREY</x:v>
      </x:c>
      <x:c r="C631" s="60" t="str">
        <x:v>SCOTT</x:v>
      </x:c>
      <x:c r="D631" s="61" t="n">
        <x:v>21223.5</x:v>
      </x:c>
      <x:c r="E631" s="62" t="n">
        <x:f>IF(OR(D631="",X631=""),"",IFERROR(DATEDIF(D631,X631,"y"),""))</x:f>
        <x:v>68</x:v>
      </x:c>
      <x:c r="F631" s="60"/>
      <x:c r="G631" s="63"/>
      <x:c r="H631" s="63"/>
      <x:c r="I631" s="61"/>
      <x:c r="J631" s="64" t="str">
        <x:f>IF(OR(I631="",X631=""),"",IFERROR(DATEDIF(I631,X631,"m")/12,""))</x:f>
      </x:c>
      <x:c r="K631" s="60"/>
      <x:c r="L631" s="60"/>
      <x:c r="M631" s="60"/>
      <x:c r="N631" s="60"/>
      <x:c r="O631" s="61"/>
      <x:c r="P631" s="64" t="str">
        <x:f>IF(OR(O631="",I631=""),"",IFERROR(DATEDIF(O631,I631,"m")/12,""))</x:f>
      </x:c>
      <x:c r="Q631" s="60"/>
      <x:c r="R631" s="61"/>
      <x:c r="S631" s="64" t="str">
        <x:f>IF(OR(R631="",X631=""),"",IFERROR(DATEDIF(R631,X631,"m")/12,""))</x:f>
      </x:c>
      <x:c r="T631" s="60" t="str">
        <x:v>CHAIRMAN</x:v>
      </x:c>
      <x:c r="U631" s="60" t="str">
        <x:v>LIFETIME TRAINING</x:v>
      </x:c>
      <x:c r="V631" s="60" t="str">
        <x:v>CLIFTON HEIGHTS, TRIANGLE WEST , BRISTOL , BS81EJ</x:v>
      </x:c>
      <x:c r="W631" s="63"/>
      <x:c r="X631" s="65" t="n">
        <x:f>TODAY()</x:f>
        <x:v>46250</x:v>
      </x:c>
    </x:row>
    <x:row r="632">
      <x:c r="A632" s="59" t="str">
        <x:v>S</x:v>
      </x:c>
      <x:c r="B632" s="60"/>
      <x:c r="C632" s="60"/>
      <x:c r="D632" s="61"/>
      <x:c r="E632" s="62" t="str">
        <x:f>IF(OR(D632="",X632=""),"",IFERROR(DATEDIF(D632,X632,"y"),""))</x:f>
      </x:c>
      <x:c r="F632" s="60"/>
      <x:c r="G632" s="63"/>
      <x:c r="H632" s="63"/>
      <x:c r="I632" s="61"/>
      <x:c r="J632" s="64" t="str">
        <x:f>IF(OR(I632="",X632=""),"",IFERROR(DATEDIF(I632,X632,"m")/12,""))</x:f>
      </x:c>
      <x:c r="K632" s="60"/>
      <x:c r="L632" s="60"/>
      <x:c r="M632" s="60"/>
      <x:c r="N632" s="60"/>
      <x:c r="O632" s="61"/>
      <x:c r="P632" s="64" t="str">
        <x:f>IF(OR(O632="",I632=""),"",IFERROR(DATEDIF(O632,I632,"m")/12,""))</x:f>
      </x:c>
      <x:c r="Q632" s="60"/>
      <x:c r="R632" s="61"/>
      <x:c r="S632" s="64" t="str">
        <x:f>IF(OR(R632="",X632=""),"",IFERROR(DATEDIF(R632,X632,"m")/12,""))</x:f>
      </x:c>
      <x:c r="T632" s="60"/>
      <x:c r="U632" s="60"/>
      <x:c r="V632" s="60"/>
      <x:c r="W632" s="63"/>
      <x:c r="X632" s="65" t="n">
        <x:f>TODAY()</x:f>
        <x:v>46250</x:v>
      </x:c>
    </x:row>
    <x:row r="633">
      <x:c r="A633" s="59" t="str">
        <x:v>SABERRY</x:v>
      </x:c>
      <x:c r="B633" s="60" t="str">
        <x:v>OMAR</x:v>
      </x:c>
      <x:c r="C633" s="60"/>
      <x:c r="D633" s="61"/>
      <x:c r="E633" s="62" t="str">
        <x:f>IF(OR(D633="",X633=""),"",IFERROR(DATEDIF(D633,X633,"y"),""))</x:f>
      </x:c>
      <x:c r="F633" s="60"/>
      <x:c r="G633" s="63"/>
      <x:c r="H633" s="63"/>
      <x:c r="I633" s="61"/>
      <x:c r="J633" s="64" t="str">
        <x:f>IF(OR(I633="",X633=""),"",IFERROR(DATEDIF(I633,X633,"m")/12,""))</x:f>
      </x:c>
      <x:c r="K633" s="60"/>
      <x:c r="L633" s="60"/>
      <x:c r="M633" s="60"/>
      <x:c r="N633" s="60"/>
      <x:c r="O633" s="61"/>
      <x:c r="P633" s="64" t="str">
        <x:f>IF(OR(O633="",I633=""),"",IFERROR(DATEDIF(O633,I633,"m")/12,""))</x:f>
      </x:c>
      <x:c r="Q633" s="60"/>
      <x:c r="R633" s="61"/>
      <x:c r="S633" s="64" t="str">
        <x:f>IF(OR(R633="",X633=""),"",IFERROR(DATEDIF(R633,X633,"m")/12,""))</x:f>
      </x:c>
      <x:c r="T633" s="60"/>
      <x:c r="U633" s="60"/>
      <x:c r="V633" s="60"/>
      <x:c r="W633" s="63"/>
      <x:c r="X633" s="65" t="n">
        <x:f>TODAY()</x:f>
        <x:v>46250</x:v>
      </x:c>
    </x:row>
    <x:row r="634">
      <x:c r="A634" s="59" t="str">
        <x:v>SACORAFOS</x:v>
      </x:c>
      <x:c r="B634" s="60" t="str">
        <x:v>PENELOPE</x:v>
      </x:c>
      <x:c r="C634" s="60"/>
      <x:c r="D634" s="61" t="n">
        <x:v>30761.5</x:v>
      </x:c>
      <x:c r="E634" s="62" t="n">
        <x:f>IF(OR(D634="",X634=""),"",IFERROR(DATEDIF(D634,X634,"y"),""))</x:f>
        <x:v>42</x:v>
      </x:c>
      <x:c r="F634" s="60"/>
      <x:c r="G634" s="63" t="str">
        <x:v>07553214147</x:v>
      </x:c>
      <x:c r="H634" s="63"/>
      <x:c r="I634" s="61" t="n">
        <x:v>40664.5</x:v>
      </x:c>
      <x:c r="J634" s="64" t="n">
        <x:f>IF(OR(I634="",X634=""),"",IFERROR(DATEDIF(I634,X634,"m")/12,""))</x:f>
        <x:v>15.25</x:v>
      </x:c>
      <x:c r="K634" s="60" t="str">
        <x:v>FLAT D CRABTREE HALL, 70 CRABTREE LANE, LONDON, SW6 6AR</x:v>
      </x:c>
      <x:c r="L634" s="60" t="str">
        <x:v> SW6 6AR</x:v>
      </x:c>
      <x:c r="M634" s="60"/>
      <x:c r="N634" s="60" t="str">
        <x:v>SW6 6AR</x:v>
      </x:c>
      <x:c r="O634" s="61" t="n">
        <x:v>39114.5</x:v>
      </x:c>
      <x:c r="P634" s="64" t="n">
        <x:f>IF(OR(O634="",I634=""),"",IFERROR(DATEDIF(O634,I634,"m")/12,""))</x:f>
        <x:v>4.25</x:v>
      </x:c>
      <x:c r="Q634" s="60" t="str">
        <x:v>82, CANROBERT STREET, LONDON, E2 6PX</x:v>
      </x:c>
      <x:c r="R634" s="61"/>
      <x:c r="S634" s="64" t="str">
        <x:f>IF(OR(R634="",X634=""),"",IFERROR(DATEDIF(R634,X634,"m")/12,""))</x:f>
      </x:c>
      <x:c r="T634" s="60"/>
      <x:c r="U634" s="60"/>
      <x:c r="V634" s="60"/>
      <x:c r="W634" s="63"/>
      <x:c r="X634" s="65" t="n">
        <x:f>TODAY()</x:f>
        <x:v>46250</x:v>
      </x:c>
    </x:row>
    <x:row r="635">
      <x:c r="A635" s="59" t="str">
        <x:v>SAKSANGOBVARD</x:v>
      </x:c>
      <x:c r="B635" s="60" t="str">
        <x:v>YUNNYONG</x:v>
      </x:c>
      <x:c r="C635" s="60"/>
      <x:c r="D635" s="61" t="n">
        <x:v>25876.5</x:v>
      </x:c>
      <x:c r="E635" s="62" t="n">
        <x:f>IF(OR(D635="",X635=""),"",IFERROR(DATEDIF(D635,X635,"y"),""))</x:f>
        <x:v>55</x:v>
      </x:c>
      <x:c r="F635" s="60" t="str">
        <x:v>SAKSANGOBVARD</x:v>
      </x:c>
      <x:c r="G635" s="63"/>
      <x:c r="H635" s="63"/>
      <x:c r="I635" s="61" t="n">
        <x:v>43344.5</x:v>
      </x:c>
      <x:c r="J635" s="64" t="n">
        <x:f>IF(OR(I635="",X635=""),"",IFERROR(DATEDIF(I635,X635,"m")/12,""))</x:f>
        <x:v>7.916666666666667</x:v>
      </x:c>
      <x:c r="K635" s="60" t="str">
        <x:v>FLAT 8, 52 RUPERT STREET, LONDON, W1D 6DS</x:v>
      </x:c>
      <x:c r="L635" s="60" t="str">
        <x:v> W1D 6DS</x:v>
      </x:c>
      <x:c r="M635" s="60"/>
      <x:c r="N635" s="60" t="str">
        <x:v>W1D 6DS</x:v>
      </x:c>
      <x:c r="O635" s="61" t="n">
        <x:v>41821.5</x:v>
      </x:c>
      <x:c r="P635" s="64" t="n">
        <x:f>IF(OR(O635="",I635=""),"",IFERROR(DATEDIF(O635,I635,"m")/12,""))</x:f>
        <x:v>4.166666666666667</x:v>
      </x:c>
      <x:c r="Q635" s="60" t="str">
        <x:v>14, DOUGLAS CRESCENT, HAYES, MIDDLESEX, UB4 9BT</x:v>
      </x:c>
      <x:c r="R635" s="61"/>
      <x:c r="S635" s="64" t="str">
        <x:f>IF(OR(R635="",X635=""),"",IFERROR(DATEDIF(R635,X635,"m")/12,""))</x:f>
      </x:c>
      <x:c r="T635" s="60"/>
      <x:c r="U635" s="60"/>
      <x:c r="V635" s="60"/>
      <x:c r="W635" s="63"/>
      <x:c r="X635" s="65" t="n">
        <x:f>TODAY()</x:f>
        <x:v>46250</x:v>
      </x:c>
    </x:row>
    <x:row r="636">
      <x:c r="A636" s="59" t="str">
        <x:v>SALET</x:v>
      </x:c>
      <x:c r="B636" s="60" t="str">
        <x:v>EDOUARD</x:v>
      </x:c>
      <x:c r="C636" s="60" t="str">
        <x:v>MARIE LOUIS</x:v>
      </x:c>
      <x:c r="D636" s="61" t="n">
        <x:v>26828.5</x:v>
      </x:c>
      <x:c r="E636" s="62" t="n">
        <x:f>IF(OR(D636="",X636=""),"",IFERROR(DATEDIF(D636,X636,"y"),""))</x:f>
        <x:v>53</x:v>
      </x:c>
      <x:c r="F636" s="60"/>
      <x:c r="G636" s="63"/>
      <x:c r="H636" s="63"/>
      <x:c r="I636" s="61"/>
      <x:c r="J636" s="64" t="str">
        <x:f>IF(OR(I636="",X636=""),"",IFERROR(DATEDIF(I636,X636,"m")/12,""))</x:f>
      </x:c>
      <x:c r="K636" s="60" t="str">
        <x:v>FLAT 5, 29 CORNWALL GARDENS, LONDON, SW7 4AP</x:v>
      </x:c>
      <x:c r="L636" s="60" t="str">
        <x:v> SW7 4AP</x:v>
      </x:c>
      <x:c r="M636" s="60"/>
      <x:c r="N636" s="60" t="str">
        <x:v>SW7 4AP</x:v>
      </x:c>
      <x:c r="O636" s="61"/>
      <x:c r="P636" s="64" t="str">
        <x:f>IF(OR(O636="",I636=""),"",IFERROR(DATEDIF(O636,I636,"m")/12,""))</x:f>
      </x:c>
      <x:c r="Q636" s="60"/>
      <x:c r="R636" s="61"/>
      <x:c r="S636" s="64" t="str">
        <x:f>IF(OR(R636="",X636=""),"",IFERROR(DATEDIF(R636,X636,"m")/12,""))</x:f>
      </x:c>
      <x:c r="T636" s="60"/>
      <x:c r="U636" s="60"/>
      <x:c r="V636" s="60"/>
      <x:c r="W636" s="63"/>
      <x:c r="X636" s="65" t="n">
        <x:f>TODAY()</x:f>
        <x:v>46250</x:v>
      </x:c>
    </x:row>
    <x:row r="637">
      <x:c r="A637" s="59" t="str">
        <x:v>SALT</x:v>
      </x:c>
      <x:c r="B637" s="60" t="str">
        <x:v>JAKE</x:v>
      </x:c>
      <x:c r="C637" s="60" t="str">
        <x:v>JAMES</x:v>
      </x:c>
      <x:c r="D637" s="61" t="n">
        <x:v>34595.5</x:v>
      </x:c>
      <x:c r="E637" s="62" t="n">
        <x:f>IF(OR(D637="",X637=""),"",IFERROR(DATEDIF(D637,X637,"y"),""))</x:f>
        <x:v>31</x:v>
      </x:c>
      <x:c r="F637" s="60" t="str">
        <x:v>PHILIPPS</x:v>
      </x:c>
      <x:c r="G637" s="63" t="str">
        <x:v>07553835216</x:v>
      </x:c>
      <x:c r="H637" s="63"/>
      <x:c r="I637" s="61" t="n">
        <x:v>45047.5</x:v>
      </x:c>
      <x:c r="J637" s="64" t="n">
        <x:f>IF(OR(I637="",X637=""),"",IFERROR(DATEDIF(I637,X637,"m")/12,""))</x:f>
        <x:v>3.25</x:v>
      </x:c>
      <x:c r="K637" s="60" t="str">
        <x:v>FLAT 2A, 9 LEINSTER GARDENS, LONDON, W2 6DP</x:v>
      </x:c>
      <x:c r="L637" s="60" t="str">
        <x:v> W2 6DP</x:v>
      </x:c>
      <x:c r="M637" s="60"/>
      <x:c r="N637" s="60" t="str">
        <x:v>W2 6DP</x:v>
      </x:c>
      <x:c r="O637" s="61" t="n">
        <x:v>44197.5</x:v>
      </x:c>
      <x:c r="P637" s="64" t="n">
        <x:f>IF(OR(O637="",I637=""),"",IFERROR(DATEDIF(O637,I637,"m")/12,""))</x:f>
        <x:v>2.3333333333333335</x:v>
      </x:c>
      <x:c r="Q637" s="60" t="str">
        <x:v>FLAT 13, 4, SINGER MEWS, LONDON, SW4 6AX</x:v>
      </x:c>
      <x:c r="R637" s="61" t="n">
        <x:v>44743.5</x:v>
      </x:c>
      <x:c r="S637" s="64" t="n">
        <x:f>IF(OR(R637="",X637=""),"",IFERROR(DATEDIF(R637,X637,"m")/12,""))</x:f>
        <x:v>4.083333333333333</x:v>
      </x:c>
      <x:c r="T637" s="60" t="str">
        <x:v>RECRUITMENT LEAD</x:v>
      </x:c>
      <x:c r="U637" s="60" t="str">
        <x:v>ERNST &amp; YOUNG</x:v>
      </x:c>
      <x:c r="V637" s="60" t="str">
        <x:v>1 MORE LONDON PL, LONDON, SE1 2AF</x:v>
      </x:c>
      <x:c r="W637" s="63" t="str">
        <x:v>020 79512000</x:v>
      </x:c>
      <x:c r="X637" s="65" t="n">
        <x:f>TODAY()</x:f>
        <x:v>46250</x:v>
      </x:c>
    </x:row>
    <x:row r="638">
      <x:c r="A638" s="59" t="str">
        <x:v>SANCHEZ JIMENEZ</x:v>
      </x:c>
      <x:c r="B638" s="60" t="str">
        <x:v>CRISTINA</x:v>
      </x:c>
      <x:c r="C638" s="60"/>
      <x:c r="D638" s="61"/>
      <x:c r="E638" s="62" t="str">
        <x:f>IF(OR(D638="",X638=""),"",IFERROR(DATEDIF(D638,X638,"y"),""))</x:f>
      </x:c>
      <x:c r="F638" s="60"/>
      <x:c r="G638" s="63"/>
      <x:c r="H638" s="63"/>
      <x:c r="I638" s="61" t="n">
        <x:v>43497.5</x:v>
      </x:c>
      <x:c r="J638" s="64" t="n">
        <x:f>IF(OR(I638="",X638=""),"",IFERROR(DATEDIF(I638,X638,"m")/12,""))</x:f>
        <x:v>7.5</x:v>
      </x:c>
      <x:c r="K638" s="60" t="str">
        <x:v>FLAT 5, 6 WINDMILL DRIVE, LONDON, SW4 9DE</x:v>
      </x:c>
      <x:c r="L638" s="60" t="str">
        <x:v> SW4 9DE</x:v>
      </x:c>
      <x:c r="M638" s="60"/>
      <x:c r="N638" s="60" t="str">
        <x:v>SW4 9DE</x:v>
      </x:c>
      <x:c r="O638" s="61"/>
      <x:c r="P638" s="64" t="str">
        <x:f>IF(OR(O638="",I638=""),"",IFERROR(DATEDIF(O638,I638,"m")/12,""))</x:f>
      </x:c>
      <x:c r="Q638" s="60"/>
      <x:c r="R638" s="61" t="n">
        <x:v>44287.5</x:v>
      </x:c>
      <x:c r="S638" s="64" t="n">
        <x:f>IF(OR(R638="",X638=""),"",IFERROR(DATEDIF(R638,X638,"m")/12,""))</x:f>
        <x:v>5.333333333333333</x:v>
      </x:c>
      <x:c r="T638" s="60" t="str">
        <x:v>BIM MANAGER - DIGITAL ENGINEER</x:v>
      </x:c>
      <x:c r="U638" s="60" t="str">
        <x:v>LENDLEASE</x:v>
      </x:c>
      <x:c r="V638" s="60" t="str">
        <x:v>REGENT'S PLACE, LONDON, NW1 3BF, GB</x:v>
      </x:c>
      <x:c r="W638" s="63"/>
      <x:c r="X638" s="65" t="n">
        <x:f>TODAY()</x:f>
        <x:v>46250</x:v>
      </x:c>
    </x:row>
    <x:row r="639">
      <x:c r="A639" s="59" t="str">
        <x:v>SANDERS</x:v>
      </x:c>
      <x:c r="B639" s="60" t="str">
        <x:v>EDWARD</x:v>
      </x:c>
      <x:c r="C639" s="60" t="str">
        <x:v>SEBASTIAN GEORGE</x:v>
      </x:c>
      <x:c r="D639" s="61" t="n">
        <x:v>34234.5</x:v>
      </x:c>
      <x:c r="E639" s="62" t="n">
        <x:f>IF(OR(D639="",X639=""),"",IFERROR(DATEDIF(D639,X639,"y"),""))</x:f>
        <x:v>32</x:v>
      </x:c>
      <x:c r="F639" s="60" t="str">
        <x:v>DIXONWARD</x:v>
      </x:c>
      <x:c r="G639" s="63" t="str">
        <x:v>07342574332</x:v>
      </x:c>
      <x:c r="H639" s="63"/>
      <x:c r="I639" s="61" t="n">
        <x:v>43983.5</x:v>
      </x:c>
      <x:c r="J639" s="64" t="n">
        <x:f>IF(OR(I639="",X639=""),"",IFERROR(DATEDIF(I639,X639,"m")/12,""))</x:f>
        <x:v>6.166666666666667</x:v>
      </x:c>
      <x:c r="K639" s="60" t="str">
        <x:v>FLAT 8, 27 REDCLIFFE SQUARE, LONDON, SW10 9JX</x:v>
      </x:c>
      <x:c r="L639" s="60" t="str">
        <x:v> SW10 9JX</x:v>
      </x:c>
      <x:c r="M639" s="60"/>
      <x:c r="N639" s="60" t="str">
        <x:v>SW10 9JX</x:v>
      </x:c>
      <x:c r="O639" s="61" t="n">
        <x:v>43282.5</x:v>
      </x:c>
      <x:c r="P639" s="64" t="n">
        <x:f>IF(OR(O639="",I639=""),"",IFERROR(DATEDIF(O639,I639,"m")/12,""))</x:f>
        <x:v>1.9166666666666667</x:v>
      </x:c>
      <x:c r="Q639" s="60" t="str">
        <x:v>GLEBE HOUSE, UPPER SWAINSWICK, BATH, BA1 8BX</x:v>
      </x:c>
      <x:c r="R639" s="61" t="n">
        <x:v>44409.5</x:v>
      </x:c>
      <x:c r="S639" s="64" t="n">
        <x:f>IF(OR(R639="",X639=""),"",IFERROR(DATEDIF(R639,X639,"m")/12,""))</x:f>
        <x:v>5</x:v>
      </x:c>
      <x:c r="T639" s="60" t="str">
        <x:v>ACCOUNT MANAGER</x:v>
      </x:c>
      <x:c r="U639" s="60" t="str">
        <x:v>PITCHBOOK DATA</x:v>
      </x:c>
      <x:c r="V639" s="60" t="str">
        <x:v>1ST FLOOR SAFFRON HOUSE, 6-10 KIRBY STREET, LONDON, EC1N 8TS</x:v>
      </x:c>
      <x:c r="W639" s="63"/>
      <x:c r="X639" s="65" t="n">
        <x:f>TODAY()</x:f>
        <x:v>46250</x:v>
      </x:c>
    </x:row>
    <x:row r="640">
      <x:c r="A640" s="59" t="str">
        <x:v>SANFORD</x:v>
      </x:c>
      <x:c r="B640" s="60" t="str">
        <x:v>COLIN</x:v>
      </x:c>
      <x:c r="C640" s="60" t="str">
        <x:v>EDWARD</x:v>
      </x:c>
      <x:c r="D640" s="61" t="n">
        <x:v>27177.5</x:v>
      </x:c>
      <x:c r="E640" s="62" t="n">
        <x:f>IF(OR(D640="",X640=""),"",IFERROR(DATEDIF(D640,X640,"y"),""))</x:f>
        <x:v>52</x:v>
      </x:c>
      <x:c r="F640" s="60" t="str">
        <x:v>EMAMUEL</x:v>
      </x:c>
      <x:c r="G640" s="63"/>
      <x:c r="H640" s="63"/>
      <x:c r="I640" s="61" t="n">
        <x:v>41791.5</x:v>
      </x:c>
      <x:c r="J640" s="64" t="n">
        <x:f>IF(OR(I640="",X640=""),"",IFERROR(DATEDIF(I640,X640,"m")/12,""))</x:f>
        <x:v>12.166666666666666</x:v>
      </x:c>
      <x:c r="K640" s="60" t="str">
        <x:v>FLAT 2, 61-63 GLOUCESTER TERRACE, LONDON, W2 3DH</x:v>
      </x:c>
      <x:c r="L640" s="60" t="str">
        <x:v> W2 3DH</x:v>
      </x:c>
      <x:c r="M640" s="60"/>
      <x:c r="N640" s="60" t="str">
        <x:v>W2 3DH</x:v>
      </x:c>
      <x:c r="O640" s="61" t="n">
        <x:v>40664.5</x:v>
      </x:c>
      <x:c r="P640" s="64" t="n">
        <x:f>IF(OR(O640="",I640=""),"",IFERROR(DATEDIF(O640,I640,"m")/12,""))</x:f>
        <x:v>3.0833333333333335</x:v>
      </x:c>
      <x:c r="Q640" s="60" t="str">
        <x:v>FLAT 11, SUDBURY HEIGHTS AVENUE, GREENFORD, MIDDLESEX, UB6 0BF</x:v>
      </x:c>
      <x:c r="R640" s="61" t="n">
        <x:v>41334.5</x:v>
      </x:c>
      <x:c r="S640" s="64" t="n">
        <x:f>IF(OR(R640="",X640=""),"",IFERROR(DATEDIF(R640,X640,"m")/12,""))</x:f>
        <x:v>13.416666666666666</x:v>
      </x:c>
      <x:c r="T640" s="60" t="str">
        <x:v>ACCOUNTANT</x:v>
      </x:c>
      <x:c r="U640" s="60" t="str">
        <x:v>MERCEDES BENZ RETAIL FGROUP</x:v>
      </x:c>
      <x:c r="V640" s="60" t="str">
        <x:v>DELAWARE DRIVE, TONGWELL, MILTON KEYNES, BUCKS, MK15 8BA</x:v>
      </x:c>
      <x:c r="W640" s="63"/>
      <x:c r="X640" s="65" t="n">
        <x:f>TODAY()</x:f>
        <x:v>46250</x:v>
      </x:c>
    </x:row>
    <x:row r="641">
      <x:c r="A641" s="59" t="str">
        <x:v>SAVITSKY</x:v>
      </x:c>
      <x:c r="B641" s="60" t="str">
        <x:v>ARTIOM</x:v>
      </x:c>
      <x:c r="C641" s="60"/>
      <x:c r="D641" s="61"/>
      <x:c r="E641" s="62" t="str">
        <x:f>IF(OR(D641="",X641=""),"",IFERROR(DATEDIF(D641,X641,"y"),""))</x:f>
      </x:c>
      <x:c r="F641" s="60"/>
      <x:c r="G641" s="63"/>
      <x:c r="H641" s="63"/>
      <x:c r="I641" s="61"/>
      <x:c r="J641" s="64" t="str">
        <x:f>IF(OR(I641="",X641=""),"",IFERROR(DATEDIF(I641,X641,"m")/12,""))</x:f>
      </x:c>
      <x:c r="K641" s="60" t="str">
        <x:v>171 SUSSEX GARDENS, LONDON, W2 2RH</x:v>
      </x:c>
      <x:c r="L641" s="60" t="str">
        <x:v> W2 2RH</x:v>
      </x:c>
      <x:c r="M641" s="60"/>
      <x:c r="N641" s="60" t="str">
        <x:v>W2 2RH</x:v>
      </x:c>
      <x:c r="O641" s="61"/>
      <x:c r="P641" s="64" t="str">
        <x:f>IF(OR(O641="",I641=""),"",IFERROR(DATEDIF(O641,I641,"m")/12,""))</x:f>
      </x:c>
      <x:c r="Q641" s="60"/>
      <x:c r="R641" s="61"/>
      <x:c r="S641" s="64" t="str">
        <x:f>IF(OR(R641="",X641=""),"",IFERROR(DATEDIF(R641,X641,"m")/12,""))</x:f>
      </x:c>
      <x:c r="T641" s="60"/>
      <x:c r="U641" s="60"/>
      <x:c r="V641" s="60"/>
      <x:c r="W641" s="63"/>
      <x:c r="X641" s="65" t="n">
        <x:f>TODAY()</x:f>
        <x:v>46250</x:v>
      </x:c>
    </x:row>
    <x:row r="642">
      <x:c r="A642" s="59" t="str">
        <x:v>SAWADI</x:v>
      </x:c>
      <x:c r="B642" s="60" t="str">
        <x:v>NADA</x:v>
      </x:c>
      <x:c r="C642" s="60"/>
      <x:c r="D642" s="61" t="n">
        <x:v>32033.5</x:v>
      </x:c>
      <x:c r="E642" s="62" t="n">
        <x:f>IF(OR(D642="",X642=""),"",IFERROR(DATEDIF(D642,X642,"y"),""))</x:f>
        <x:v>38</x:v>
      </x:c>
      <x:c r="F642" s="60"/>
      <x:c r="G642" s="63"/>
      <x:c r="H642" s="63"/>
      <x:c r="I642" s="61" t="n">
        <x:v>43862.5</x:v>
      </x:c>
      <x:c r="J642" s="64" t="n">
        <x:f>IF(OR(I642="",X642=""),"",IFERROR(DATEDIF(I642,X642,"m")/12,""))</x:f>
        <x:v>6.5</x:v>
      </x:c>
      <x:c r="K642" s="60" t="str">
        <x:v>FLAT 302, 30-31 PHILBEACH GARDENS LONDON, SW5 9EB</x:v>
      </x:c>
      <x:c r="L642" s="60" t="str">
        <x:v> SW5 9EB</x:v>
      </x:c>
      <x:c r="M642" s="60"/>
      <x:c r="N642" s="60" t="str">
        <x:v>SW5 9EB</x:v>
      </x:c>
      <x:c r="O642" s="61"/>
      <x:c r="P642" s="64" t="str">
        <x:f>IF(OR(O642="",I642=""),"",IFERROR(DATEDIF(O642,I642,"m")/12,""))</x:f>
      </x:c>
      <x:c r="Q642" s="60"/>
      <x:c r="R642" s="61" t="n">
        <x:v>43466.5</x:v>
      </x:c>
      <x:c r="S642" s="64" t="n">
        <x:f>IF(OR(R642="",X642=""),"",IFERROR(DATEDIF(R642,X642,"m")/12,""))</x:f>
        <x:v>7.583333333333333</x:v>
      </x:c>
      <x:c r="T642" s="60" t="str">
        <x:v>PRIVATE BANKER</x:v>
      </x:c>
      <x:c r="U642" s="60" t="str">
        <x:v>NATIONAL BANK OF KUWAIT</x:v>
      </x:c>
      <x:c r="V642" s="60" t="str">
        <x:v>N B K HOUSE, 13 GEORGE ST, LONDON W1U 3QJ</x:v>
      </x:c>
      <x:c r="W642" s="63" t="str">
        <x:v>02072242277</x:v>
      </x:c>
      <x:c r="X642" s="65" t="n">
        <x:f>TODAY()</x:f>
        <x:v>46250</x:v>
      </x:c>
    </x:row>
    <x:row r="643">
      <x:c r="A643" s="59" t="str">
        <x:v>SCAMPTON</x:v>
      </x:c>
      <x:c r="B643" s="60" t="str">
        <x:v>OLIVER</x:v>
      </x:c>
      <x:c r="C643" s="60" t="str">
        <x:v>JAMES</x:v>
      </x:c>
      <x:c r="D643" s="61" t="n">
        <x:v>34638.5</x:v>
      </x:c>
      <x:c r="E643" s="62" t="n">
        <x:f>IF(OR(D643="",X643=""),"",IFERROR(DATEDIF(D643,X643,"y"),""))</x:f>
        <x:v>31</x:v>
      </x:c>
      <x:c r="F643" s="60" t="str">
        <x:v>MILLER</x:v>
      </x:c>
      <x:c r="G643" s="63"/>
      <x:c r="H643" s="63"/>
      <x:c r="I643" s="61" t="n">
        <x:v>43405.5</x:v>
      </x:c>
      <x:c r="J643" s="64" t="n">
        <x:f>IF(OR(I643="",X643=""),"",IFERROR(DATEDIF(I643,X643,"m")/12,""))</x:f>
        <x:v>7.75</x:v>
      </x:c>
      <x:c r="K643" s="60" t="str">
        <x:v>FLAT 6, 332-334 NORTH END ROAD, LONDON, SW6 1NF</x:v>
      </x:c>
      <x:c r="L643" s="60" t="str">
        <x:v> SW6 1NF</x:v>
      </x:c>
      <x:c r="M643" s="60"/>
      <x:c r="N643" s="60" t="str">
        <x:v>SW6 1NF</x:v>
      </x:c>
      <x:c r="O643" s="61" t="n">
        <x:v>41395.5</x:v>
      </x:c>
      <x:c r="P643" s="64" t="n">
        <x:f>IF(OR(O643="",I643=""),"",IFERROR(DATEDIF(O643,I643,"m")/12,""))</x:f>
        <x:v>5.5</x:v>
      </x:c>
      <x:c r="Q643" s="60" t="str">
        <x:v>10, COBBETTS MEWS, LYNTONS, PULBOROUGH, WEST SUSSEX, RH20 1AJ</x:v>
      </x:c>
      <x:c r="R643" s="61"/>
      <x:c r="S643" s="64" t="str">
        <x:f>IF(OR(R643="",X643=""),"",IFERROR(DATEDIF(R643,X643,"m")/12,""))</x:f>
      </x:c>
      <x:c r="T643" s="60" t="str">
        <x:v>CONSULTANT</x:v>
      </x:c>
      <x:c r="U643" s="60" t="str">
        <x:v>CLEARWEATER LONDON</x:v>
      </x:c>
      <x:c r="V643" s="60" t="str">
        <x:v>30 NEWMAN STREET,FITZROVIA, LONDON, UK W1T 1PT</x:v>
      </x:c>
      <x:c r="W643" s="63"/>
      <x:c r="X643" s="65" t="n">
        <x:f>TODAY()</x:f>
        <x:v>46250</x:v>
      </x:c>
    </x:row>
    <x:row r="644">
      <x:c r="A644" s="59" t="str">
        <x:v>SCHEMUTH</x:v>
      </x:c>
      <x:c r="B644" s="60" t="str">
        <x:v>MAX</x:v>
      </x:c>
      <x:c r="C644" s="60" t="str">
        <x:v>PETER</x:v>
      </x:c>
      <x:c r="D644" s="61" t="n">
        <x:v>36295.5</x:v>
      </x:c>
      <x:c r="E644" s="62" t="n">
        <x:f>IF(OR(D644="",X644=""),"",IFERROR(DATEDIF(D644,X644,"y"),""))</x:f>
        <x:v>27</x:v>
      </x:c>
      <x:c r="F644" s="60" t="str">
        <x:v>BURNSIDE</x:v>
      </x:c>
      <x:c r="G644" s="63" t="str">
        <x:v>07498951669</x:v>
      </x:c>
      <x:c r="H644" s="63" t="str">
        <x:v>PE567490C</x:v>
      </x:c>
      <x:c r="I644" s="61" t="n">
        <x:v>43739.5</x:v>
      </x:c>
      <x:c r="J644" s="64" t="n">
        <x:f>IF(OR(I644="",X644=""),"",IFERROR(DATEDIF(I644,X644,"m")/12,""))</x:f>
        <x:v>6.833333333333333</x:v>
      </x:c>
      <x:c r="K644" s="60" t="str">
        <x:v>FLAT 13, 59 BONDWAY, LONDON SW8 1SJ</x:v>
      </x:c>
      <x:c r="L644" s="60"/>
      <x:c r="M644" s="60"/>
      <x:c r="N644" s="60"/>
      <x:c r="O644" s="61" t="n">
        <x:v>43221.5</x:v>
      </x:c>
      <x:c r="P644" s="64" t="n">
        <x:f>IF(OR(O644="",I644=""),"",IFERROR(DATEDIF(O644,I644,"m")/12,""))</x:f>
        <x:v>1.4166666666666667</x:v>
      </x:c>
      <x:c r="Q644" s="60" t="str">
        <x:v>THE CASTLE, PALACE GREEN, DURHAM, CO DURHAM, DH1 3RW</x:v>
      </x:c>
      <x:c r="R644" s="61" t="n">
        <x:v>44440.5</x:v>
      </x:c>
      <x:c r="S644" s="64" t="n">
        <x:f>IF(OR(R644="",X644=""),"",IFERROR(DATEDIF(R644,X644,"m")/12,""))</x:f>
        <x:v>4.916666666666667</x:v>
      </x:c>
      <x:c r="T644" s="60" t="str">
        <x:v>CORPORATE GROWTH</x:v>
      </x:c>
      <x:c r="U644" s="60" t="str">
        <x:v>REVOLUT</x:v>
      </x:c>
      <x:c r="V644" s="60" t="str">
        <x:v>THE COLUMBUS BUILDING, 7 WESTFERRY CIRCUS, LONDON, E14 4HD</x:v>
      </x:c>
      <x:c r="W644" s="63"/>
      <x:c r="X644" s="65" t="n">
        <x:f>TODAY()</x:f>
        <x:v>46250</x:v>
      </x:c>
    </x:row>
    <x:row r="645">
      <x:c r="A645" s="59" t="str">
        <x:v>SCHOUMANN</x:v>
      </x:c>
      <x:c r="B645" s="60" t="str">
        <x:v>JEROME</x:v>
      </x:c>
      <x:c r="C645" s="60"/>
      <x:c r="D645" s="61"/>
      <x:c r="E645" s="62" t="str">
        <x:f>IF(OR(D645="",X645=""),"",IFERROR(DATEDIF(D645,X645,"y"),""))</x:f>
      </x:c>
      <x:c r="F645" s="60"/>
      <x:c r="G645" s="63"/>
      <x:c r="H645" s="63" t="str">
        <x:v>SL792441B</x:v>
      </x:c>
      <x:c r="I645" s="61"/>
      <x:c r="J645" s="64" t="str">
        <x:f>IF(OR(I645="",X645=""),"",IFERROR(DATEDIF(I645,X645,"m")/12,""))</x:f>
      </x:c>
      <x:c r="K645" s="60" t="str">
        <x:v>FLAT 6, 19 CLEVELAND SQUARE, LONDON , W2 6DG</x:v>
      </x:c>
      <x:c r="L645" s="60"/>
      <x:c r="M645" s="60"/>
      <x:c r="N645" s="60"/>
      <x:c r="O645" s="61"/>
      <x:c r="P645" s="64" t="str">
        <x:f>IF(OR(O645="",I645=""),"",IFERROR(DATEDIF(O645,I645,"m")/12,""))</x:f>
      </x:c>
      <x:c r="Q645" s="60"/>
      <x:c r="R645" s="61"/>
      <x:c r="S645" s="64" t="str">
        <x:f>IF(OR(R645="",X645=""),"",IFERROR(DATEDIF(R645,X645,"m")/12,""))</x:f>
      </x:c>
      <x:c r="T645" s="60"/>
      <x:c r="U645" s="60"/>
      <x:c r="V645" s="60"/>
      <x:c r="W645" s="63"/>
      <x:c r="X645" s="65" t="n">
        <x:f>TODAY()</x:f>
        <x:v>46250</x:v>
      </x:c>
    </x:row>
    <x:row r="646">
      <x:c r="A646" s="59" t="str">
        <x:v>SCIAMMA</x:v>
      </x:c>
      <x:c r="B646" s="60" t="str">
        <x:v>DAVIDE</x:v>
      </x:c>
      <x:c r="C646" s="60"/>
      <x:c r="D646" s="61"/>
      <x:c r="E646" s="62" t="str">
        <x:f>IF(OR(D646="",X646=""),"",IFERROR(DATEDIF(D646,X646,"y"),""))</x:f>
      </x:c>
      <x:c r="F646" s="60"/>
      <x:c r="G646" s="63"/>
      <x:c r="H646" s="63"/>
      <x:c r="I646" s="61" t="n">
        <x:v>43009.5</x:v>
      </x:c>
      <x:c r="J646" s="64" t="n">
        <x:f>IF(OR(I646="",X646=""),"",IFERROR(DATEDIF(I646,X646,"m")/12,""))</x:f>
        <x:v>8.833333333333334</x:v>
      </x:c>
      <x:c r="K646" s="60" t="str">
        <x:v>FLAT 6, 14 ACOL ROAD, LONDON, NW6 3AH</x:v>
      </x:c>
      <x:c r="L646" s="60" t="str">
        <x:v> NW6 3AH</x:v>
      </x:c>
      <x:c r="M646" s="60"/>
      <x:c r="N646" s="60" t="str">
        <x:v>NW6 3AH</x:v>
      </x:c>
      <x:c r="O646" s="61"/>
      <x:c r="P646" s="64" t="str">
        <x:f>IF(OR(O646="",I646=""),"",IFERROR(DATEDIF(O646,I646,"m")/12,""))</x:f>
      </x:c>
      <x:c r="Q646" s="60"/>
      <x:c r="R646" s="61"/>
      <x:c r="S646" s="64" t="str">
        <x:f>IF(OR(R646="",X646=""),"",IFERROR(DATEDIF(R646,X646,"m")/12,""))</x:f>
      </x:c>
      <x:c r="T646" s="60"/>
      <x:c r="U646" s="60"/>
      <x:c r="V646" s="60"/>
      <x:c r="W646" s="63"/>
      <x:c r="X646" s="65" t="n">
        <x:f>TODAY()</x:f>
        <x:v>46250</x:v>
      </x:c>
    </x:row>
    <x:row r="647">
      <x:c r="A647" s="59" t="str">
        <x:v>SCOTT</x:v>
      </x:c>
      <x:c r="B647" s="60" t="str">
        <x:v>CHRISTOPHER</x:v>
      </x:c>
      <x:c r="C647" s="60" t="str">
        <x:v>PETER</x:v>
      </x:c>
      <x:c r="D647" s="61"/>
      <x:c r="E647" s="62" t="str">
        <x:f>IF(OR(D647="",X647=""),"",IFERROR(DATEDIF(D647,X647,"y"),""))</x:f>
      </x:c>
      <x:c r="F647" s="60" t="str">
        <x:v>HOGARTH</x:v>
      </x:c>
      <x:c r="G647" s="63"/>
      <x:c r="H647" s="63"/>
      <x:c r="I647" s="61" t="n">
        <x:v>43221.5</x:v>
      </x:c>
      <x:c r="J647" s="64" t="n">
        <x:f>IF(OR(I647="",X647=""),"",IFERROR(DATEDIF(I647,X647,"m")/12,""))</x:f>
        <x:v>8.25</x:v>
      </x:c>
      <x:c r="K647" s="60" t="str">
        <x:v>FLAT 7, KINGS MANSIONS, LAWRENCE STREET, LONDON, SW3 5ND</x:v>
      </x:c>
      <x:c r="L647" s="60" t="str">
        <x:v> SW3 5ND</x:v>
      </x:c>
      <x:c r="M647" s="60"/>
      <x:c r="N647" s="60" t="str">
        <x:v>SW3 5ND</x:v>
      </x:c>
      <x:c r="O647" s="61" t="n">
        <x:v>38261.5</x:v>
      </x:c>
      <x:c r="P647" s="64" t="n">
        <x:f>IF(OR(O647="",I647=""),"",IFERROR(DATEDIF(O647,I647,"m")/12,""))</x:f>
        <x:v>13.583333333333334</x:v>
      </x:c>
      <x:c r="Q647" s="60" t="str">
        <x:v>175, GLYN ROAD, E5 0JS</x:v>
      </x:c>
      <x:c r="R647" s="61"/>
      <x:c r="S647" s="64" t="str">
        <x:f>IF(OR(R647="",X647=""),"",IFERROR(DATEDIF(R647,X647,"m")/12,""))</x:f>
      </x:c>
      <x:c r="T647" s="60"/>
      <x:c r="U647" s="60"/>
      <x:c r="V647" s="60"/>
      <x:c r="W647" s="63"/>
      <x:c r="X647" s="65" t="n">
        <x:f>TODAY()</x:f>
        <x:v>46250</x:v>
      </x:c>
    </x:row>
    <x:row r="648">
      <x:c r="A648" s="59" t="str">
        <x:v>SCOTT</x:v>
      </x:c>
      <x:c r="B648" s="60" t="str">
        <x:v>JANELLE</x:v>
      </x:c>
      <x:c r="C648" s="60"/>
      <x:c r="D648" s="61" t="n">
        <x:v>28504.5</x:v>
      </x:c>
      <x:c r="E648" s="62" t="n">
        <x:f>IF(OR(D648="",X648=""),"",IFERROR(DATEDIF(D648,X648,"y"),""))</x:f>
        <x:v>48</x:v>
      </x:c>
      <x:c r="F648" s="60"/>
      <x:c r="G648" s="63"/>
      <x:c r="H648" s="63"/>
      <x:c r="I648" s="61"/>
      <x:c r="J648" s="64" t="str">
        <x:f>IF(OR(I648="",X648=""),"",IFERROR(DATEDIF(I648,X648,"m")/12,""))</x:f>
      </x:c>
      <x:c r="K648" s="60" t="str">
        <x:v>FLAT 6, 171 SUSSEX GARDENS, LONDON, W2 2RH</x:v>
      </x:c>
      <x:c r="L648" s="60" t="str">
        <x:v> W2 2RH</x:v>
      </x:c>
      <x:c r="M648" s="60"/>
      <x:c r="N648" s="60" t="str">
        <x:v>W2 2RH</x:v>
      </x:c>
      <x:c r="O648" s="61"/>
      <x:c r="P648" s="64" t="str">
        <x:f>IF(OR(O648="",I648=""),"",IFERROR(DATEDIF(O648,I648,"m")/12,""))</x:f>
      </x:c>
      <x:c r="Q648" s="60"/>
      <x:c r="R648" s="61"/>
      <x:c r="S648" s="64" t="str">
        <x:f>IF(OR(R648="",X648=""),"",IFERROR(DATEDIF(R648,X648,"m")/12,""))</x:f>
      </x:c>
      <x:c r="T648" s="60"/>
      <x:c r="U648" s="60"/>
      <x:c r="V648" s="60"/>
      <x:c r="W648" s="63"/>
      <x:c r="X648" s="65" t="n">
        <x:f>TODAY()</x:f>
        <x:v>46250</x:v>
      </x:c>
    </x:row>
    <x:row r="649">
      <x:c r="A649" s="59" t="str">
        <x:v>SCOTT</x:v>
      </x:c>
      <x:c r="B649" s="60" t="str">
        <x:v>NICHOLAS</x:v>
      </x:c>
      <x:c r="C649" s="60" t="str">
        <x:v>DONALD</x:v>
      </x:c>
      <x:c r="D649" s="61" t="n">
        <x:v>31033.5</x:v>
      </x:c>
      <x:c r="E649" s="62" t="n">
        <x:f>IF(OR(D649="",X649=""),"",IFERROR(DATEDIF(D649,X649,"y"),""))</x:f>
        <x:v>41</x:v>
      </x:c>
      <x:c r="F649" s="60"/>
      <x:c r="G649" s="63"/>
      <x:c r="H649" s="63"/>
      <x:c r="I649" s="61" t="n">
        <x:v>43221.5</x:v>
      </x:c>
      <x:c r="J649" s="64" t="n">
        <x:f>IF(OR(I649="",X649=""),"",IFERROR(DATEDIF(I649,X649,"m")/12,""))</x:f>
        <x:v>8.25</x:v>
      </x:c>
      <x:c r="K649" s="60" t="str">
        <x:v>FLAT 6, 45 CLANRICARDE GARDENS, LONDON, W2 4JN</x:v>
      </x:c>
      <x:c r="L649" s="60" t="str">
        <x:v> W2 4JN</x:v>
      </x:c>
      <x:c r="M649" s="60"/>
      <x:c r="N649" s="60" t="str">
        <x:v>W2 4JN</x:v>
      </x:c>
      <x:c r="O649" s="61"/>
      <x:c r="P649" s="64" t="str">
        <x:f>IF(OR(O649="",I649=""),"",IFERROR(DATEDIF(O649,I649,"m")/12,""))</x:f>
      </x:c>
      <x:c r="Q649" s="60"/>
      <x:c r="R649" s="61"/>
      <x:c r="S649" s="64" t="str">
        <x:f>IF(OR(R649="",X649=""),"",IFERROR(DATEDIF(R649,X649,"m")/12,""))</x:f>
      </x:c>
      <x:c r="T649" s="60"/>
      <x:c r="U649" s="60"/>
      <x:c r="V649" s="60"/>
      <x:c r="W649" s="63"/>
      <x:c r="X649" s="65" t="n">
        <x:f>TODAY()</x:f>
        <x:v>46250</x:v>
      </x:c>
    </x:row>
    <x:row r="650">
      <x:c r="A650" s="59" t="str">
        <x:v>SCOTTO</x:v>
      </x:c>
      <x:c r="B650" s="60" t="str">
        <x:v>CLAUDIO</x:v>
      </x:c>
      <x:c r="C650" s="60"/>
      <x:c r="D650" s="61" t="n">
        <x:v>24713.5</x:v>
      </x:c>
      <x:c r="E650" s="62" t="n">
        <x:f>IF(OR(D650="",X650=""),"",IFERROR(DATEDIF(D650,X650,"y"),""))</x:f>
        <x:v>58</x:v>
      </x:c>
      <x:c r="F650" s="60"/>
      <x:c r="G650" s="63" t="str">
        <x:v>07732122491</x:v>
      </x:c>
      <x:c r="H650" s="63"/>
      <x:c r="I650" s="61" t="n">
        <x:v>44440.5</x:v>
      </x:c>
      <x:c r="J650" s="64" t="n">
        <x:f>IF(OR(I650="",X650=""),"",IFERROR(DATEDIF(I650,X650,"m")/12,""))</x:f>
        <x:v>4.916666666666667</x:v>
      </x:c>
      <x:c r="K650" s="60" t="str">
        <x:v>39A GREVILLE ROAD, LONDON, NW6 5JJ</x:v>
      </x:c>
      <x:c r="L650" s="60" t="str">
        <x:v> NW6 5JJ</x:v>
      </x:c>
      <x:c r="M650" s="60"/>
      <x:c r="N650" s="60" t="str">
        <x:v>NW6 5JJ</x:v>
      </x:c>
      <x:c r="O650" s="61" t="n">
        <x:v>43556.5</x:v>
      </x:c>
      <x:c r="P650" s="64" t="n">
        <x:f>IF(OR(O650="",I650=""),"",IFERROR(DATEDIF(O650,I650,"m")/12,""))</x:f>
        <x:v>2.4166666666666665</x:v>
      </x:c>
      <x:c r="Q650" s="60" t="str">
        <x:v>FLAT L GROUND FLOOR, 219 DAWES ROAD, LONDOIN, SW6</x:v>
      </x:c>
      <x:c r="R650" s="61"/>
      <x:c r="S650" s="64" t="str">
        <x:f>IF(OR(R650="",X650=""),"",IFERROR(DATEDIF(R650,X650,"m")/12,""))</x:f>
      </x:c>
      <x:c r="T650" s="60"/>
      <x:c r="U650" s="60"/>
      <x:c r="V650" s="60"/>
      <x:c r="W650" s="63"/>
      <x:c r="X650" s="65" t="n">
        <x:f>TODAY()</x:f>
        <x:v>46250</x:v>
      </x:c>
    </x:row>
    <x:row r="651">
      <x:c r="A651" s="59" t="str">
        <x:v>SEARCY</x:v>
      </x:c>
      <x:c r="B651" s="60" t="str">
        <x:v>ANGUS</x:v>
      </x:c>
      <x:c r="C651" s="60" t="str">
        <x:v>JOHN</x:v>
      </x:c>
      <x:c r="D651" s="61" t="n">
        <x:v>24033.5</x:v>
      </x:c>
      <x:c r="E651" s="62" t="n">
        <x:f>IF(OR(D651="",X651=""),"",IFERROR(DATEDIF(D651,X651,"y"),""))</x:f>
        <x:v>60</x:v>
      </x:c>
      <x:c r="F651" s="60"/>
      <x:c r="G651" s="63"/>
      <x:c r="H651" s="63"/>
      <x:c r="I651" s="61"/>
      <x:c r="J651" s="64" t="str">
        <x:f>IF(OR(I651="",X651=""),"",IFERROR(DATEDIF(I651,X651,"m")/12,""))</x:f>
      </x:c>
      <x:c r="K651" s="60" t="str">
        <x:v>FLAT 1, KINGS MANSIONS, LAWRENCE STREET, CHELSEA, LONDON, SW3 5ND</x:v>
      </x:c>
      <x:c r="L651" s="60" t="str">
        <x:v> SW3 5ND</x:v>
      </x:c>
      <x:c r="M651" s="60"/>
      <x:c r="N651" s="60" t="str">
        <x:v>SW3 5ND</x:v>
      </x:c>
      <x:c r="O651" s="61"/>
      <x:c r="P651" s="64" t="str">
        <x:f>IF(OR(O651="",I651=""),"",IFERROR(DATEDIF(O651,I651,"m")/12,""))</x:f>
      </x:c>
      <x:c r="Q651" s="60"/>
      <x:c r="R651" s="61"/>
      <x:c r="S651" s="64" t="str">
        <x:f>IF(OR(R651="",X651=""),"",IFERROR(DATEDIF(R651,X651,"m")/12,""))</x:f>
      </x:c>
      <x:c r="T651" s="60"/>
      <x:c r="U651" s="60"/>
      <x:c r="V651" s="60"/>
      <x:c r="W651" s="63"/>
      <x:c r="X651" s="65" t="n">
        <x:f>TODAY()</x:f>
        <x:v>46250</x:v>
      </x:c>
    </x:row>
    <x:row r="652">
      <x:c r="A652" s="59" t="str">
        <x:v>SEDDON</x:v>
      </x:c>
      <x:c r="B652" s="60" t="str">
        <x:v>IAN</x:v>
      </x:c>
      <x:c r="C652" s="60" t="str">
        <x:v>FRANK</x:v>
      </x:c>
      <x:c r="D652" s="61" t="n">
        <x:v>30866.5</x:v>
      </x:c>
      <x:c r="E652" s="62" t="n">
        <x:f>IF(OR(D652="",X652=""),"",IFERROR(DATEDIF(D652,X652,"y"),""))</x:f>
        <x:v>42</x:v>
      </x:c>
      <x:c r="F652" s="60" t="str">
        <x:v>NUTTAL</x:v>
      </x:c>
      <x:c r="G652" s="63"/>
      <x:c r="H652" s="63" t="str">
        <x:v>JK906017B</x:v>
      </x:c>
      <x:c r="I652" s="61"/>
      <x:c r="J652" s="64" t="str">
        <x:f>IF(OR(I652="",X652=""),"",IFERROR(DATEDIF(I652,X652,"m")/12,""))</x:f>
      </x:c>
      <x:c r="K652" s="60"/>
      <x:c r="L652" s="60"/>
      <x:c r="M652" s="60"/>
      <x:c r="N652" s="60"/>
      <x:c r="O652" s="61"/>
      <x:c r="P652" s="64" t="str">
        <x:f>IF(OR(O652="",I652=""),"",IFERROR(DATEDIF(O652,I652,"m")/12,""))</x:f>
      </x:c>
      <x:c r="Q652" s="60"/>
      <x:c r="R652" s="61"/>
      <x:c r="S652" s="64" t="str">
        <x:f>IF(OR(R652="",X652=""),"",IFERROR(DATEDIF(R652,X652,"m")/12,""))</x:f>
      </x:c>
      <x:c r="T652" s="60"/>
      <x:c r="U652" s="60"/>
      <x:c r="V652" s="60"/>
      <x:c r="W652" s="63"/>
      <x:c r="X652" s="65" t="n">
        <x:f>TODAY()</x:f>
        <x:v>46250</x:v>
      </x:c>
    </x:row>
    <x:row r="653">
      <x:c r="A653" s="59" t="str">
        <x:v>SEED</x:v>
      </x:c>
      <x:c r="B653" s="60" t="str">
        <x:v>CRISTEL</x:v>
      </x:c>
      <x:c r="C653" s="60" t="str">
        <x:v>DAWN PUYAWAN</x:v>
      </x:c>
      <x:c r="D653" s="61" t="n">
        <x:v>34491.5</x:v>
      </x:c>
      <x:c r="E653" s="62" t="n">
        <x:f>IF(OR(D653="",X653=""),"",IFERROR(DATEDIF(D653,X653,"y"),""))</x:f>
        <x:v>32</x:v>
      </x:c>
      <x:c r="F653" s="60"/>
      <x:c r="G653" s="63" t="str">
        <x:v>07300158434</x:v>
      </x:c>
      <x:c r="H653" s="63" t="str">
        <x:v>SZ569189B</x:v>
      </x:c>
      <x:c r="I653" s="61" t="n">
        <x:v>44348.5</x:v>
      </x:c>
      <x:c r="J653" s="64" t="n">
        <x:f>IF(OR(I653="",X653=""),"",IFERROR(DATEDIF(I653,X653,"m")/12,""))</x:f>
        <x:v>5.166666666666667</x:v>
      </x:c>
      <x:c r="K653" s="60" t="str">
        <x:v>FLAT 9, 59 BONDWAY, LONDON SW8 1SJ</x:v>
      </x:c>
      <x:c r="L653" s="60"/>
      <x:c r="M653" s="60"/>
      <x:c r="N653" s="60"/>
      <x:c r="O653" s="61"/>
      <x:c r="P653" s="64" t="str">
        <x:f>IF(OR(O653="",I653=""),"",IFERROR(DATEDIF(O653,I653,"m")/12,""))</x:f>
      </x:c>
      <x:c r="Q653" s="60"/>
      <x:c r="R653" s="61" t="n">
        <x:v>44682.5</x:v>
      </x:c>
      <x:c r="S653" s="64" t="n">
        <x:f>IF(OR(R653="",X653=""),"",IFERROR(DATEDIF(R653,X653,"m")/12,""))</x:f>
        <x:v>4.25</x:v>
      </x:c>
      <x:c r="T653" s="60" t="str">
        <x:v>TALENT ACQUISITION PARTNER</x:v>
      </x:c>
      <x:c r="U653" s="60" t="str">
        <x:v>THIRD SPACE</x:v>
      </x:c>
      <x:c r="V653" s="60" t="str">
        <x:v>16-19 CANADA SQUARE , LONDON, E14 5ER</x:v>
      </x:c>
      <x:c r="W653" s="63" t="str">
        <x:v>020 7970 0900</x:v>
      </x:c>
      <x:c r="X653" s="65" t="n">
        <x:f>TODAY()</x:f>
        <x:v>46250</x:v>
      </x:c>
    </x:row>
    <x:row r="654">
      <x:c r="A654" s="59" t="str">
        <x:v>SERAJ</x:v>
      </x:c>
      <x:c r="B654" s="60" t="str">
        <x:v>HAMED</x:v>
      </x:c>
      <x:c r="C654" s="60" t="str">
        <x:v>YOUSSEF</x:v>
      </x:c>
      <x:c r="D654" s="61" t="n">
        <x:v>24121.5</x:v>
      </x:c>
      <x:c r="E654" s="62" t="n">
        <x:f>IF(OR(D654="",X654=""),"",IFERROR(DATEDIF(D654,X654,"y"),""))</x:f>
        <x:v>60</x:v>
      </x:c>
      <x:c r="F654" s="60" t="str">
        <x:v>HOSSEINI</x:v>
      </x:c>
      <x:c r="G654" s="63"/>
      <x:c r="H654" s="63"/>
      <x:c r="I654" s="61" t="n">
        <x:v>38961.5</x:v>
      </x:c>
      <x:c r="J654" s="64" t="n">
        <x:f>IF(OR(I654="",X654=""),"",IFERROR(DATEDIF(I654,X654,"m")/12,""))</x:f>
        <x:v>19.916666666666668</x:v>
      </x:c>
      <x:c r="K654" s="60" t="str">
        <x:v>9 TOWER HOUSE, 2 CANDOVER STREET, W1W7DQ</x:v>
      </x:c>
      <x:c r="L654" s="60"/>
      <x:c r="M654" s="60"/>
      <x:c r="N654" s="60"/>
      <x:c r="O654" s="61"/>
      <x:c r="P654" s="64" t="str">
        <x:f>IF(OR(O654="",I654=""),"",IFERROR(DATEDIF(O654,I654,"m")/12,""))</x:f>
      </x:c>
      <x:c r="Q654" s="60"/>
      <x:c r="R654" s="61" t="n">
        <x:v>37135.5</x:v>
      </x:c>
      <x:c r="S654" s="64" t="n">
        <x:f>IF(OR(R654="",X654=""),"",IFERROR(DATEDIF(R654,X654,"m")/12,""))</x:f>
        <x:v>24.916666666666668</x:v>
      </x:c>
      <x:c r="T654" s="60" t="str">
        <x:v>DIRECTOR</x:v>
      </x:c>
      <x:c r="U654" s="60" t="str">
        <x:v>ONVISUAL</x:v>
      </x:c>
      <x:c r="V654" s="60"/>
      <x:c r="W654" s="63"/>
      <x:c r="X654" s="65" t="n">
        <x:f>TODAY()</x:f>
        <x:v>46250</x:v>
      </x:c>
    </x:row>
    <x:row r="655">
      <x:c r="A655" s="59" t="str">
        <x:v>SEZER</x:v>
      </x:c>
      <x:c r="B655" s="60" t="str">
        <x:v>OZLEM</x:v>
      </x:c>
      <x:c r="C655" s="60"/>
      <x:c r="D655" s="61" t="n">
        <x:v>26174.5</x:v>
      </x:c>
      <x:c r="E655" s="62" t="n">
        <x:f>IF(OR(D655="",X655=""),"",IFERROR(DATEDIF(D655,X655,"y"),""))</x:f>
        <x:v>54</x:v>
      </x:c>
      <x:c r="F655" s="60"/>
      <x:c r="G655" s="63"/>
      <x:c r="H655" s="63" t="str">
        <x:v>SZ316458C</x:v>
      </x:c>
      <x:c r="I655" s="61" t="n">
        <x:v>42948.5</x:v>
      </x:c>
      <x:c r="J655" s="64" t="n">
        <x:f>IF(OR(I655="",X655=""),"",IFERROR(DATEDIF(I655,X655,"m")/12,""))</x:f>
        <x:v>9</x:v>
      </x:c>
      <x:c r="K655" s="60" t="str">
        <x:v>FLAT 1, 29, CORNWALL GARDENS, LONDON, SW7 4AP</x:v>
      </x:c>
      <x:c r="L655" s="60" t="str">
        <x:v> SW7 4AP</x:v>
      </x:c>
      <x:c r="M655" s="60"/>
      <x:c r="N655" s="60" t="str">
        <x:v>SW7 4AP</x:v>
      </x:c>
      <x:c r="O655" s="61"/>
      <x:c r="P655" s="64" t="str">
        <x:f>IF(OR(O655="",I655=""),"",IFERROR(DATEDIF(O655,I655,"m")/12,""))</x:f>
      </x:c>
      <x:c r="Q655" s="60" t="str">
        <x:v>FLAT 5, 16 COURTFIELD GARDENS, LONDON, SW5 0PD</x:v>
      </x:c>
      <x:c r="R655" s="61"/>
      <x:c r="S655" s="64" t="str">
        <x:f>IF(OR(R655="",X655=""),"",IFERROR(DATEDIF(R655,X655,"m")/12,""))</x:f>
      </x:c>
      <x:c r="T655" s="60"/>
      <x:c r="U655" s="60"/>
      <x:c r="V655" s="60"/>
      <x:c r="W655" s="63"/>
      <x:c r="X655" s="65" t="n">
        <x:f>TODAY()</x:f>
        <x:v>46250</x:v>
      </x:c>
    </x:row>
    <x:row r="656">
      <x:c r="A656" s="59" t="str">
        <x:v>SHAFIK</x:v>
      </x:c>
      <x:c r="B656" s="60" t="str">
        <x:v>ADEL</x:v>
      </x:c>
      <x:c r="C656" s="60" t="str">
        <x:v>BEKHIT</x:v>
      </x:c>
      <x:c r="D656" s="61" t="n">
        <x:v>28764.5</x:v>
      </x:c>
      <x:c r="E656" s="62" t="n">
        <x:f>IF(OR(D656="",X656=""),"",IFERROR(DATEDIF(D656,X656,"y"),""))</x:f>
        <x:v>47</x:v>
      </x:c>
      <x:c r="F656" s="60"/>
      <x:c r="G656" s="63"/>
      <x:c r="H656" s="63"/>
      <x:c r="I656" s="61" t="n">
        <x:v>43831.5</x:v>
      </x:c>
      <x:c r="J656" s="64" t="n">
        <x:f>IF(OR(I656="",X656=""),"",IFERROR(DATEDIF(I656,X656,"m")/12,""))</x:f>
        <x:v>6.583333333333333</x:v>
      </x:c>
      <x:c r="K656" s="60" t="str">
        <x:v>FLAT 6, 197 NORTH END ROAD, LONDON, W14 9NL</x:v>
      </x:c>
      <x:c r="L656" s="60" t="str">
        <x:v> W14 9NL</x:v>
      </x:c>
      <x:c r="M656" s="60"/>
      <x:c r="N656" s="60" t="str">
        <x:v>W14 9NL</x:v>
      </x:c>
      <x:c r="O656" s="61"/>
      <x:c r="P656" s="64" t="str">
        <x:f>IF(OR(O656="",I656=""),"",IFERROR(DATEDIF(O656,I656,"m")/12,""))</x:f>
      </x:c>
      <x:c r="Q656" s="60"/>
      <x:c r="R656" s="61"/>
      <x:c r="S656" s="64" t="str">
        <x:f>IF(OR(R656="",X656=""),"",IFERROR(DATEDIF(R656,X656,"m")/12,""))</x:f>
      </x:c>
      <x:c r="T656" s="60"/>
      <x:c r="U656" s="60"/>
      <x:c r="V656" s="60"/>
      <x:c r="W656" s="63"/>
      <x:c r="X656" s="65" t="n">
        <x:f>TODAY()</x:f>
        <x:v>46250</x:v>
      </x:c>
    </x:row>
    <x:row r="657">
      <x:c r="A657" s="59" t="str">
        <x:v>SHAH</x:v>
      </x:c>
      <x:c r="B657" s="60" t="str">
        <x:v>MEHVEEN</x:v>
      </x:c>
      <x:c r="C657" s="60"/>
      <x:c r="D657" s="61" t="n">
        <x:v>30941.5</x:v>
      </x:c>
      <x:c r="E657" s="62" t="n">
        <x:f>IF(OR(D657="",X657=""),"",IFERROR(DATEDIF(D657,X657,"y"),""))</x:f>
        <x:v>41</x:v>
      </x:c>
      <x:c r="F657" s="60"/>
      <x:c r="G657" s="63"/>
      <x:c r="H657" s="63" t="str">
        <x:v>SL824510C</x:v>
      </x:c>
      <x:c r="I657" s="61"/>
      <x:c r="J657" s="64" t="str">
        <x:f>IF(OR(I657="",X657=""),"",IFERROR(DATEDIF(I657,X657,"m")/12,""))</x:f>
      </x:c>
      <x:c r="K657" s="60" t="str">
        <x:v>FLAT 15, 22CRAVEN HILL GARDENS, LONDON, W2 3EE</x:v>
      </x:c>
      <x:c r="L657" s="60" t="str">
        <x:v> W2 3EE</x:v>
      </x:c>
      <x:c r="M657" s="60"/>
      <x:c r="N657" s="60" t="str">
        <x:v>W2 3EE</x:v>
      </x:c>
      <x:c r="O657" s="61"/>
      <x:c r="P657" s="64" t="str">
        <x:f>IF(OR(O657="",I657=""),"",IFERROR(DATEDIF(O657,I657,"m")/12,""))</x:f>
      </x:c>
      <x:c r="Q657" s="60"/>
      <x:c r="R657" s="61"/>
      <x:c r="S657" s="64" t="str">
        <x:f>IF(OR(R657="",X657=""),"",IFERROR(DATEDIF(R657,X657,"m")/12,""))</x:f>
      </x:c>
      <x:c r="T657" s="60"/>
      <x:c r="U657" s="60"/>
      <x:c r="V657" s="60"/>
      <x:c r="W657" s="63"/>
      <x:c r="X657" s="65" t="n">
        <x:f>TODAY()</x:f>
        <x:v>46250</x:v>
      </x:c>
    </x:row>
    <x:row r="658">
      <x:c r="A658" s="59" t="str">
        <x:v>SHAH</x:v>
      </x:c>
      <x:c r="B658" s="60" t="str">
        <x:v>SIDDHARTH</x:v>
      </x:c>
      <x:c r="C658" s="60"/>
      <x:c r="D658" s="61"/>
      <x:c r="E658" s="62" t="str">
        <x:f>IF(OR(D658="",X658=""),"",IFERROR(DATEDIF(D658,X658,"y"),""))</x:f>
      </x:c>
      <x:c r="F658" s="60"/>
      <x:c r="G658" s="63"/>
      <x:c r="H658" s="63"/>
      <x:c r="I658" s="61"/>
      <x:c r="J658" s="64" t="str">
        <x:f>IF(OR(I658="",X658=""),"",IFERROR(DATEDIF(I658,X658,"m")/12,""))</x:f>
      </x:c>
      <x:c r="K658" s="60" t="str">
        <x:v>FLAT 8, 59 BONDWAY, LONDON SW8 1SJ</x:v>
      </x:c>
      <x:c r="L658" s="60"/>
      <x:c r="M658" s="60"/>
      <x:c r="N658" s="60"/>
      <x:c r="O658" s="61"/>
      <x:c r="P658" s="64" t="str">
        <x:f>IF(OR(O658="",I658=""),"",IFERROR(DATEDIF(O658,I658,"m")/12,""))</x:f>
      </x:c>
      <x:c r="Q658" s="60"/>
      <x:c r="R658" s="61"/>
      <x:c r="S658" s="64" t="str">
        <x:f>IF(OR(R658="",X658=""),"",IFERROR(DATEDIF(R658,X658,"m")/12,""))</x:f>
      </x:c>
      <x:c r="T658" s="60"/>
      <x:c r="U658" s="60"/>
      <x:c r="V658" s="60"/>
      <x:c r="W658" s="63"/>
      <x:c r="X658" s="65" t="n">
        <x:f>TODAY()</x:f>
        <x:v>46250</x:v>
      </x:c>
    </x:row>
    <x:row r="659">
      <x:c r="A659" s="59" t="str">
        <x:v>SHAHZADY</x:v>
      </x:c>
      <x:c r="B659" s="60" t="str">
        <x:v>SAMINA</x:v>
      </x:c>
      <x:c r="C659" s="60"/>
      <x:c r="D659" s="61" t="n">
        <x:v>24333.5</x:v>
      </x:c>
      <x:c r="E659" s="62" t="n">
        <x:f>IF(OR(D659="",X659=""),"",IFERROR(DATEDIF(D659,X659,"y"),""))</x:f>
        <x:v>60</x:v>
      </x:c>
      <x:c r="F659" s="60"/>
      <x:c r="G659" s="63"/>
      <x:c r="H659" s="63"/>
      <x:c r="I659" s="61"/>
      <x:c r="J659" s="64" t="str">
        <x:f>IF(OR(I659="",X659=""),"",IFERROR(DATEDIF(I659,X659,"m")/12,""))</x:f>
      </x:c>
      <x:c r="K659" s="60" t="str">
        <x:v>FLAT 1, 167 CROMWELL ROAD, LONDON, SW5 0SQ</x:v>
      </x:c>
      <x:c r="L659" s="60" t="str">
        <x:v> SW5 0SQ</x:v>
      </x:c>
      <x:c r="M659" s="60"/>
      <x:c r="N659" s="60" t="str">
        <x:v>SW5 0SQ</x:v>
      </x:c>
      <x:c r="O659" s="61"/>
      <x:c r="P659" s="64" t="str">
        <x:f>IF(OR(O659="",I659=""),"",IFERROR(DATEDIF(O659,I659,"m")/12,""))</x:f>
      </x:c>
      <x:c r="Q659" s="60"/>
      <x:c r="R659" s="61"/>
      <x:c r="S659" s="64" t="str">
        <x:f>IF(OR(R659="",X659=""),"",IFERROR(DATEDIF(R659,X659,"m")/12,""))</x:f>
      </x:c>
      <x:c r="T659" s="60"/>
      <x:c r="U659" s="60"/>
      <x:c r="V659" s="60"/>
      <x:c r="W659" s="63"/>
      <x:c r="X659" s="65" t="n">
        <x:f>TODAY()</x:f>
        <x:v>46250</x:v>
      </x:c>
    </x:row>
    <x:row r="660">
      <x:c r="A660" s="59" t="str">
        <x:v>SHEN</x:v>
      </x:c>
      <x:c r="B660" s="60" t="str">
        <x:v>SHUHENG</x:v>
      </x:c>
      <x:c r="C660" s="60"/>
      <x:c r="D660" s="61" t="n">
        <x:v>33165.5</x:v>
      </x:c>
      <x:c r="E660" s="62" t="n">
        <x:f>IF(OR(D660="",X660=""),"",IFERROR(DATEDIF(D660,X660,"y"),""))</x:f>
        <x:v>35</x:v>
      </x:c>
      <x:c r="F660" s="60"/>
      <x:c r="G660" s="63"/>
      <x:c r="H660" s="63"/>
      <x:c r="I660" s="61"/>
      <x:c r="J660" s="64" t="str">
        <x:f>IF(OR(I660="",X660=""),"",IFERROR(DATEDIF(I660,X660,"m")/12,""))</x:f>
      </x:c>
      <x:c r="K660" s="60" t="str">
        <x:v>508 FULHAM ROAD, LONDON, SW6 5NJ</x:v>
      </x:c>
      <x:c r="L660" s="60" t="str">
        <x:v> SW6 5NJ</x:v>
      </x:c>
      <x:c r="M660" s="60"/>
      <x:c r="N660" s="60" t="str">
        <x:v>SW6 5NJ</x:v>
      </x:c>
      <x:c r="O660" s="61"/>
      <x:c r="P660" s="64" t="str">
        <x:f>IF(OR(O660="",I660=""),"",IFERROR(DATEDIF(O660,I660,"m")/12,""))</x:f>
      </x:c>
      <x:c r="Q660" s="60"/>
      <x:c r="R660" s="61"/>
      <x:c r="S660" s="64" t="str">
        <x:f>IF(OR(R660="",X660=""),"",IFERROR(DATEDIF(R660,X660,"m")/12,""))</x:f>
      </x:c>
      <x:c r="T660" s="60"/>
      <x:c r="U660" s="60"/>
      <x:c r="V660" s="60"/>
      <x:c r="W660" s="63"/>
      <x:c r="X660" s="65" t="n">
        <x:f>TODAY()</x:f>
        <x:v>46250</x:v>
      </x:c>
    </x:row>
    <x:row r="661">
      <x:c r="A661" s="59" t="str">
        <x:v>SHEVLANE</x:v>
      </x:c>
      <x:c r="B661" s="60" t="str">
        <x:v>MYLES</x:v>
      </x:c>
      <x:c r="C661" s="60"/>
      <x:c r="D661" s="61" t="n">
        <x:v>21654.5</x:v>
      </x:c>
      <x:c r="E661" s="62" t="n">
        <x:f>IF(OR(D661="",X661=""),"",IFERROR(DATEDIF(D661,X661,"y"),""))</x:f>
        <x:v>67</x:v>
      </x:c>
      <x:c r="F661" s="60" t="str">
        <x:v>GAUGHAN</x:v>
      </x:c>
      <x:c r="G661" s="63" t="str">
        <x:v>07507938537</x:v>
      </x:c>
      <x:c r="H661" s="63"/>
      <x:c r="I661" s="61" t="n">
        <x:v>44287.5</x:v>
      </x:c>
      <x:c r="J661" s="64" t="n">
        <x:f>IF(OR(I661="",X661=""),"",IFERROR(DATEDIF(I661,X661,"m")/12,""))</x:f>
        <x:v>5.333333333333333</x:v>
      </x:c>
      <x:c r="K661" s="60" t="str">
        <x:v>FLAT D, 47 QUEENS GATE, LONDON, SW7 5JN</x:v>
      </x:c>
      <x:c r="L661" s="60" t="str">
        <x:v> SW7 5JN</x:v>
      </x:c>
      <x:c r="M661" s="60"/>
      <x:c r="N661" s="60" t="str">
        <x:v>SW7 5JN</x:v>
      </x:c>
      <x:c r="O661" s="61" t="n">
        <x:v>41852.5</x:v>
      </x:c>
      <x:c r="P661" s="64" t="n">
        <x:f>IF(OR(O661="",I661=""),"",IFERROR(DATEDIF(O661,I661,"m")/12,""))</x:f>
        <x:v>6.666666666666667</x:v>
      </x:c>
      <x:c r="Q661" s="60" t="str">
        <x:v>FLAT 1, 116, QUEEN'S GATE, KNIGHTSBRIDGE, LONDON, SW7 5LP</x:v>
      </x:c>
      <x:c r="R661" s="61" t="n">
        <x:v>44774.5</x:v>
      </x:c>
      <x:c r="S661" s="64" t="n">
        <x:f>IF(OR(R661="",X661=""),"",IFERROR(DATEDIF(R661,X661,"m")/12,""))</x:f>
        <x:v>4</x:v>
      </x:c>
      <x:c r="T661" s="60" t="str">
        <x:v>COMMERCIAL DIRECTOR</x:v>
      </x:c>
      <x:c r="U661" s="60" t="str">
        <x:v>ALBIDA CONSULTING LTD</x:v>
      </x:c>
      <x:c r="V661" s="60" t="str">
        <x:v>71-75 SHELTON STREET, COVENT GARDEN, LONDON WC2H 9JQ</x:v>
      </x:c>
      <x:c r="W661" s="63" t="str">
        <x:v>0777 588 8606</x:v>
      </x:c>
      <x:c r="X661" s="65" t="n">
        <x:f>TODAY()</x:f>
        <x:v>46250</x:v>
      </x:c>
    </x:row>
    <x:row r="662">
      <x:c r="A662" s="59" t="str">
        <x:v>SHRIGLEY</x:v>
      </x:c>
      <x:c r="B662" s="60" t="str">
        <x:v>HANNAH</x:v>
      </x:c>
      <x:c r="C662" s="60" t="str">
        <x:v>JAYNE</x:v>
      </x:c>
      <x:c r="D662" s="61" t="n">
        <x:v>34495.5</x:v>
      </x:c>
      <x:c r="E662" s="62" t="n">
        <x:f>IF(OR(D662="",X662=""),"",IFERROR(DATEDIF(D662,X662,"y"),""))</x:f>
        <x:v>32</x:v>
      </x:c>
      <x:c r="F662" s="60" t="str">
        <x:v>BENDALL</x:v>
      </x:c>
      <x:c r="G662" s="63"/>
      <x:c r="H662" s="63"/>
      <x:c r="I662" s="61"/>
      <x:c r="J662" s="64" t="str">
        <x:f>IF(OR(I662="",X662=""),"",IFERROR(DATEDIF(I662,X662,"m")/12,""))</x:f>
      </x:c>
      <x:c r="K662" s="60" t="str">
        <x:v>FLAT 2, ROSSLYN HOUSE, RUSHCROFT ROAD, LONDON, SW2 1LG</x:v>
      </x:c>
      <x:c r="L662" s="60" t="str">
        <x:v> SW2 1LG</x:v>
      </x:c>
      <x:c r="M662" s="60"/>
      <x:c r="N662" s="60" t="str">
        <x:v>SW2 1LG</x:v>
      </x:c>
      <x:c r="O662" s="61"/>
      <x:c r="P662" s="64" t="str">
        <x:f>IF(OR(O662="",I662=""),"",IFERROR(DATEDIF(O662,I662,"m")/12,""))</x:f>
      </x:c>
      <x:c r="Q662" s="60"/>
      <x:c r="R662" s="61"/>
      <x:c r="S662" s="64" t="str">
        <x:f>IF(OR(R662="",X662=""),"",IFERROR(DATEDIF(R662,X662,"m")/12,""))</x:f>
      </x:c>
      <x:c r="T662" s="60"/>
      <x:c r="U662" s="60"/>
      <x:c r="V662" s="60"/>
      <x:c r="W662" s="63"/>
      <x:c r="X662" s="65" t="n">
        <x:f>TODAY()</x:f>
        <x:v>46250</x:v>
      </x:c>
    </x:row>
    <x:row r="663">
      <x:c r="A663" s="59" t="str">
        <x:v>SHRIGLEY</x:v>
      </x:c>
      <x:c r="B663" s="60" t="str">
        <x:v>HANNAH</x:v>
      </x:c>
      <x:c r="C663" s="60" t="str">
        <x:v>JAYNE</x:v>
      </x:c>
      <x:c r="D663" s="61" t="n">
        <x:v>34495.5</x:v>
      </x:c>
      <x:c r="E663" s="62" t="n">
        <x:f>IF(OR(D663="",X663=""),"",IFERROR(DATEDIF(D663,X663,"y"),""))</x:f>
        <x:v>32</x:v>
      </x:c>
      <x:c r="F663" s="60" t="str">
        <x:v>BENDALL</x:v>
      </x:c>
      <x:c r="G663" s="63"/>
      <x:c r="H663" s="63"/>
      <x:c r="I663" s="61"/>
      <x:c r="J663" s="64" t="str">
        <x:f>IF(OR(I663="",X663=""),"",IFERROR(DATEDIF(I663,X663,"m")/12,""))</x:f>
      </x:c>
      <x:c r="K663" s="60" t="str">
        <x:v>FLAT 2, ROSSLYN HOUSE, RUSHCROFT ROAD, LONDON, SW2 1LG</x:v>
      </x:c>
      <x:c r="L663" s="60" t="str">
        <x:v> SW2 1LG</x:v>
      </x:c>
      <x:c r="M663" s="60"/>
      <x:c r="N663" s="60" t="str">
        <x:v>SW2 1LG</x:v>
      </x:c>
      <x:c r="O663" s="61"/>
      <x:c r="P663" s="64" t="str">
        <x:f>IF(OR(O663="",I663=""),"",IFERROR(DATEDIF(O663,I663,"m")/12,""))</x:f>
      </x:c>
      <x:c r="Q663" s="60"/>
      <x:c r="R663" s="61"/>
      <x:c r="S663" s="64" t="str">
        <x:f>IF(OR(R663="",X663=""),"",IFERROR(DATEDIF(R663,X663,"m")/12,""))</x:f>
      </x:c>
      <x:c r="T663" s="60"/>
      <x:c r="U663" s="60"/>
      <x:c r="V663" s="60"/>
      <x:c r="W663" s="63"/>
      <x:c r="X663" s="65" t="n">
        <x:f>TODAY()</x:f>
        <x:v>46250</x:v>
      </x:c>
    </x:row>
    <x:row r="664">
      <x:c r="A664" s="59" t="str">
        <x:v>SIEBERT</x:v>
      </x:c>
      <x:c r="B664" s="60" t="str">
        <x:v>JOHN</x:v>
      </x:c>
      <x:c r="C664" s="60" t="str">
        <x:v>ALUN</x:v>
      </x:c>
      <x:c r="D664" s="61" t="n">
        <x:v>14821.5</x:v>
      </x:c>
      <x:c r="E664" s="62" t="n">
        <x:f>IF(OR(D664="",X664=""),"",IFERROR(DATEDIF(D664,X664,"y"),""))</x:f>
        <x:v>86</x:v>
      </x:c>
      <x:c r="F664" s="60"/>
      <x:c r="G664" s="63"/>
      <x:c r="H664" s="63"/>
      <x:c r="I664" s="61" t="n">
        <x:v>42125.5</x:v>
      </x:c>
      <x:c r="J664" s="64" t="n">
        <x:f>IF(OR(I664="",X664=""),"",IFERROR(DATEDIF(I664,X664,"m")/12,""))</x:f>
        <x:v>11.25</x:v>
      </x:c>
      <x:c r="K664" s="60" t="str">
        <x:v>FLAT 1, RUTLAND COURT 21-23, DRAYCOTT PLACE, CHELSEA, LONDON, SW3 2SQ</x:v>
      </x:c>
      <x:c r="L664" s="60" t="str">
        <x:v> SW3 2SQ</x:v>
      </x:c>
      <x:c r="M664" s="60"/>
      <x:c r="N664" s="60" t="str">
        <x:v>SW3 2SQ</x:v>
      </x:c>
      <x:c r="O664" s="61"/>
      <x:c r="P664" s="64" t="str">
        <x:f>IF(OR(O664="",I664=""),"",IFERROR(DATEDIF(O664,I664,"m")/12,""))</x:f>
      </x:c>
      <x:c r="Q664" s="60"/>
      <x:c r="R664" s="61"/>
      <x:c r="S664" s="64" t="str">
        <x:f>IF(OR(R664="",X664=""),"",IFERROR(DATEDIF(R664,X664,"m")/12,""))</x:f>
      </x:c>
      <x:c r="T664" s="60"/>
      <x:c r="U664" s="60"/>
      <x:c r="V664" s="60"/>
      <x:c r="W664" s="63"/>
      <x:c r="X664" s="65" t="n">
        <x:f>TODAY()</x:f>
        <x:v>46250</x:v>
      </x:c>
    </x:row>
    <x:row r="665">
      <x:c r="A665" s="59" t="str">
        <x:v>SIJUWADE MONNEY</x:v>
      </x:c>
      <x:c r="B665" s="60" t="str">
        <x:v>ADERETI</x:v>
      </x:c>
      <x:c r="C665" s="60" t="str">
        <x:v>OLUWADUROTIMI</x:v>
      </x:c>
      <x:c r="D665" s="61" t="n">
        <x:v>27588.5</x:v>
      </x:c>
      <x:c r="E665" s="62" t="n">
        <x:f>IF(OR(D665="",X665=""),"",IFERROR(DATEDIF(D665,X665,"y"),""))</x:f>
        <x:v>51</x:v>
      </x:c>
      <x:c r="F665" s="60" t="str">
        <x:v>SIJUWADE</x:v>
      </x:c>
      <x:c r="G665" s="63"/>
      <x:c r="H665" s="63"/>
      <x:c r="I665" s="61"/>
      <x:c r="J665" s="64" t="str">
        <x:f>IF(OR(I665="",X665=""),"",IFERROR(DATEDIF(I665,X665,"m")/12,""))</x:f>
      </x:c>
      <x:c r="K665" s="60" t="str">
        <x:v>27B QUEENSGATE GARDENS, LONDON, SW7 5RP</x:v>
      </x:c>
      <x:c r="L665" s="60" t="str">
        <x:v> SW7 5RP</x:v>
      </x:c>
      <x:c r="M665" s="60"/>
      <x:c r="N665" s="60" t="str">
        <x:v>SW7 5RP</x:v>
      </x:c>
      <x:c r="O665" s="61"/>
      <x:c r="P665" s="64" t="str">
        <x:f>IF(OR(O665="",I665=""),"",IFERROR(DATEDIF(O665,I665,"m")/12,""))</x:f>
      </x:c>
      <x:c r="Q665" s="60"/>
      <x:c r="R665" s="61"/>
      <x:c r="S665" s="64" t="str">
        <x:f>IF(OR(R665="",X665=""),"",IFERROR(DATEDIF(R665,X665,"m")/12,""))</x:f>
      </x:c>
      <x:c r="T665" s="60"/>
      <x:c r="U665" s="60"/>
      <x:c r="V665" s="60"/>
      <x:c r="W665" s="63"/>
      <x:c r="X665" s="65" t="n">
        <x:f>TODAY()</x:f>
        <x:v>46250</x:v>
      </x:c>
    </x:row>
    <x:row r="666">
      <x:c r="A666" s="59" t="str">
        <x:v>SIMONETTA BORATTO</x:v>
      </x:c>
      <x:c r="B666" s="60" t="str">
        <x:v>GRACIELA</x:v>
      </x:c>
      <x:c r="C666" s="60" t="str">
        <x:v>ALICE</x:v>
      </x:c>
      <x:c r="D666" s="61" t="n">
        <x:v>28219.5</x:v>
      </x:c>
      <x:c r="E666" s="62" t="n">
        <x:f>IF(OR(D666="",X666=""),"",IFERROR(DATEDIF(D666,X666,"y"),""))</x:f>
        <x:v>49</x:v>
      </x:c>
      <x:c r="F666" s="60" t="str">
        <x:v>SIMONETTI</x:v>
      </x:c>
      <x:c r="G666" s="63"/>
      <x:c r="H666" s="63" t="str">
        <x:v>SE779387D</x:v>
      </x:c>
      <x:c r="I666" s="61"/>
      <x:c r="J666" s="64" t="str">
        <x:f>IF(OR(I666="",X666=""),"",IFERROR(DATEDIF(I666,X666,"m")/12,""))</x:f>
      </x:c>
      <x:c r="K666" s="60" t="str">
        <x:v>UNIT 9, 51 CLAPHAM COMON SOUTH SIDE, LONDON, SW4 9BX</x:v>
      </x:c>
      <x:c r="L666" s="60" t="str">
        <x:v> SW4 9BX</x:v>
      </x:c>
      <x:c r="M666" s="60"/>
      <x:c r="N666" s="60" t="str">
        <x:v>SW4 9BX</x:v>
      </x:c>
      <x:c r="O666" s="61"/>
      <x:c r="P666" s="64" t="str">
        <x:f>IF(OR(O666="",I666=""),"",IFERROR(DATEDIF(O666,I666,"m")/12,""))</x:f>
      </x:c>
      <x:c r="Q666" s="60"/>
      <x:c r="R666" s="61"/>
      <x:c r="S666" s="64" t="str">
        <x:f>IF(OR(R666="",X666=""),"",IFERROR(DATEDIF(R666,X666,"m")/12,""))</x:f>
      </x:c>
      <x:c r="T666" s="60"/>
      <x:c r="U666" s="60"/>
      <x:c r="V666" s="60"/>
      <x:c r="W666" s="63"/>
      <x:c r="X666" s="65" t="n">
        <x:f>TODAY()</x:f>
        <x:v>46250</x:v>
      </x:c>
    </x:row>
    <x:row r="667">
      <x:c r="A667" s="59" t="str">
        <x:v>SIMONS</x:v>
      </x:c>
      <x:c r="B667" s="60" t="str">
        <x:v>EMELY</x:v>
      </x:c>
      <x:c r="C667" s="60" t="str">
        <x:v>GRACE</x:v>
      </x:c>
      <x:c r="D667" s="61" t="n">
        <x:v>36263.5</x:v>
      </x:c>
      <x:c r="E667" s="62" t="n">
        <x:f>IF(OR(D667="",X667=""),"",IFERROR(DATEDIF(D667,X667,"y"),""))</x:f>
        <x:v>27</x:v>
      </x:c>
      <x:c r="F667" s="60"/>
      <x:c r="G667" s="63"/>
      <x:c r="H667" s="63"/>
      <x:c r="I667" s="61"/>
      <x:c r="J667" s="64" t="str">
        <x:f>IF(OR(I667="",X667=""),"",IFERROR(DATEDIF(I667,X667,"m")/12,""))</x:f>
      </x:c>
      <x:c r="K667" s="60" t="str">
        <x:v>FLAT 813-15 WESTBOURNE STREETLONDONW2 2TZ</x:v>
      </x:c>
      <x:c r="L667" s="60"/>
      <x:c r="M667" s="60"/>
      <x:c r="N667" s="60"/>
      <x:c r="O667" s="61"/>
      <x:c r="P667" s="64" t="str">
        <x:f>IF(OR(O667="",I667=""),"",IFERROR(DATEDIF(O667,I667,"m")/12,""))</x:f>
      </x:c>
      <x:c r="Q667" s="60"/>
      <x:c r="R667" s="61"/>
      <x:c r="S667" s="64" t="str">
        <x:f>IF(OR(R667="",X667=""),"",IFERROR(DATEDIF(R667,X667,"m")/12,""))</x:f>
      </x:c>
      <x:c r="T667" s="60"/>
      <x:c r="U667" s="60"/>
      <x:c r="V667" s="60"/>
      <x:c r="W667" s="63"/>
      <x:c r="X667" s="65" t="n">
        <x:f>TODAY()</x:f>
        <x:v>46250</x:v>
      </x:c>
    </x:row>
    <x:row r="668">
      <x:c r="A668" s="59" t="str">
        <x:v>SIMPSON</x:v>
      </x:c>
      <x:c r="B668" s="60" t="str">
        <x:v>OLIVIA</x:v>
      </x:c>
      <x:c r="C668" s="60" t="str">
        <x:v>CAITLIN</x:v>
      </x:c>
      <x:c r="D668" s="61" t="n">
        <x:v>34654.5</x:v>
      </x:c>
      <x:c r="E668" s="62" t="n">
        <x:f>IF(OR(D668="",X668=""),"",IFERROR(DATEDIF(D668,X668,"y"),""))</x:f>
        <x:v>31</x:v>
      </x:c>
      <x:c r="F668" s="60" t="str">
        <x:v>SIMPSON</x:v>
      </x:c>
      <x:c r="G668" s="63" t="str">
        <x:v>07444942640</x:v>
      </x:c>
      <x:c r="H668" s="63"/>
      <x:c r="I668" s="61" t="n">
        <x:v>44348.5</x:v>
      </x:c>
      <x:c r="J668" s="64" t="n">
        <x:f>IF(OR(I668="",X668=""),"",IFERROR(DATEDIF(I668,X668,"m")/12,""))</x:f>
        <x:v>5.166666666666667</x:v>
      </x:c>
      <x:c r="K668" s="60" t="str">
        <x:v>GARDEN FLAT, HEATH VIEW, 8 WINDMILL DRIVE, LONDON, SW4 9DE</x:v>
      </x:c>
      <x:c r="L668" s="60" t="str">
        <x:v> SW4 9DE</x:v>
      </x:c>
      <x:c r="M668" s="60"/>
      <x:c r="N668" s="60" t="str">
        <x:v>SW4 9DE</x:v>
      </x:c>
      <x:c r="O668" s="61" t="n">
        <x:v>43617.5</x:v>
      </x:c>
      <x:c r="P668" s="64" t="n">
        <x:f>IF(OR(O668="",I668=""),"",IFERROR(DATEDIF(O668,I668,"m")/12,""))</x:f>
        <x:v>2</x:v>
      </x:c>
      <x:c r="Q668" s="60" t="str">
        <x:v>FLAT A, 63 TANTALLON ROAD, LONDON, SW12 8DF</x:v>
      </x:c>
      <x:c r="R668" s="61" t="n">
        <x:v>43252.5</x:v>
      </x:c>
      <x:c r="S668" s="64" t="n">
        <x:f>IF(OR(R668="",X668=""),"",IFERROR(DATEDIF(R668,X668,"m")/12,""))</x:f>
        <x:v>8.166666666666666</x:v>
      </x:c>
      <x:c r="T668" s="60" t="str">
        <x:v>MARKETING &amp; COMMUNICATIONS MANAGER</x:v>
      </x:c>
      <x:c r="U668" s="60" t="str">
        <x:v>CHECKOUTSMART</x:v>
      </x:c>
      <x:c r="V668" s="60" t="str">
        <x:v>T</x:v>
      </x:c>
      <x:c r="W668" s="63"/>
      <x:c r="X668" s="65" t="n">
        <x:f>TODAY()</x:f>
        <x:v>46250</x:v>
      </x:c>
    </x:row>
    <x:row r="669">
      <x:c r="A669" s="59" t="str">
        <x:v>SINEIRO</x:v>
      </x:c>
      <x:c r="B669" s="60" t="str">
        <x:v>TANIA</x:v>
      </x:c>
      <x:c r="C669" s="60" t="str">
        <x:v>PAULETTE</x:v>
      </x:c>
      <x:c r="D669" s="61" t="n">
        <x:v>35039.5</x:v>
      </x:c>
      <x:c r="E669" s="62" t="n">
        <x:f>IF(OR(D669="",X669=""),"",IFERROR(DATEDIF(D669,X669,"y"),""))</x:f>
        <x:v>30</x:v>
      </x:c>
      <x:c r="F669" s="60"/>
      <x:c r="G669" s="63"/>
      <x:c r="H669" s="63"/>
      <x:c r="I669" s="61" t="n">
        <x:v>42979.5</x:v>
      </x:c>
      <x:c r="J669" s="64" t="n">
        <x:f>IF(OR(I669="",X669=""),"",IFERROR(DATEDIF(I669,X669,"m")/12,""))</x:f>
        <x:v>8.916666666666666</x:v>
      </x:c>
      <x:c r="K669" s="60" t="str">
        <x:v>FLAT 11, 52 RUIPERT STREET, LONDON, W1D 6DS</x:v>
      </x:c>
      <x:c r="L669" s="60" t="str">
        <x:v> W1D 6DS</x:v>
      </x:c>
      <x:c r="M669" s="60"/>
      <x:c r="N669" s="60" t="str">
        <x:v>W1D 6DS</x:v>
      </x:c>
      <x:c r="O669" s="61"/>
      <x:c r="P669" s="64" t="str">
        <x:f>IF(OR(O669="",I669=""),"",IFERROR(DATEDIF(O669,I669,"m")/12,""))</x:f>
      </x:c>
      <x:c r="Q669" s="60"/>
      <x:c r="R669" s="61"/>
      <x:c r="S669" s="64" t="str">
        <x:f>IF(OR(R669="",X669=""),"",IFERROR(DATEDIF(R669,X669,"m")/12,""))</x:f>
      </x:c>
      <x:c r="T669" s="60"/>
      <x:c r="U669" s="60" t="str">
        <x:v>CLARIDGES HOTEL LTD</x:v>
      </x:c>
      <x:c r="V669" s="60"/>
      <x:c r="W669" s="63"/>
      <x:c r="X669" s="65" t="n">
        <x:f>TODAY()</x:f>
        <x:v>46250</x:v>
      </x:c>
    </x:row>
    <x:row r="670">
      <x:c r="A670" s="59" t="str">
        <x:v>SKROBEK</x:v>
      </x:c>
      <x:c r="B670" s="60" t="str">
        <x:v>GRZEGORZ</x:v>
      </x:c>
      <x:c r="C670" s="60"/>
      <x:c r="D670" s="61" t="n">
        <x:v>31918.5</x:v>
      </x:c>
      <x:c r="E670" s="62" t="n">
        <x:f>IF(OR(D670="",X670=""),"",IFERROR(DATEDIF(D670,X670,"y"),""))</x:f>
        <x:v>39</x:v>
      </x:c>
      <x:c r="F670" s="60" t="str">
        <x:v>STEPIEN</x:v>
      </x:c>
      <x:c r="G670" s="63"/>
      <x:c r="H670" s="63"/>
      <x:c r="I670" s="61" t="n">
        <x:v>43586.5</x:v>
      </x:c>
      <x:c r="J670" s="64" t="n">
        <x:f>IF(OR(I670="",X670=""),"",IFERROR(DATEDIF(I670,X670,"m")/12,""))</x:f>
        <x:v>7.25</x:v>
      </x:c>
      <x:c r="K670" s="60" t="str">
        <x:v>171 SUSSEX GARDENS, LONDON, W2 2RH</x:v>
      </x:c>
      <x:c r="L670" s="60" t="str">
        <x:v> W2 2RH</x:v>
      </x:c>
      <x:c r="M670" s="60"/>
      <x:c r="N670" s="60" t="str">
        <x:v>W2 2RH</x:v>
      </x:c>
      <x:c r="O670" s="61" t="n">
        <x:v>42917.5</x:v>
      </x:c>
      <x:c r="P670" s="64" t="n">
        <x:f>IF(OR(O670="",I670=""),"",IFERROR(DATEDIF(O670,I670,"m")/12,""))</x:f>
        <x:v>1.8333333333333333</x:v>
      </x:c>
      <x:c r="Q670" s="60" t="str">
        <x:v>78 HIGH STREET COLLIERS WOOD, LONDON, W19 2BY</x:v>
      </x:c>
      <x:c r="R670" s="61"/>
      <x:c r="S670" s="64" t="str">
        <x:f>IF(OR(R670="",X670=""),"",IFERROR(DATEDIF(R670,X670,"m")/12,""))</x:f>
      </x:c>
      <x:c r="T670" s="60"/>
      <x:c r="U670" s="60"/>
      <x:c r="V670" s="60"/>
      <x:c r="W670" s="63"/>
      <x:c r="X670" s="65" t="n">
        <x:f>TODAY()</x:f>
        <x:v>46250</x:v>
      </x:c>
    </x:row>
    <x:row r="671">
      <x:c r="A671" s="59" t="str">
        <x:v>SMAGKOULOVA</x:v>
      </x:c>
      <x:c r="B671" s="60" t="str">
        <x:v>KARINA</x:v>
      </x:c>
      <x:c r="C671" s="60"/>
      <x:c r="D671" s="61" t="n">
        <x:v>34834.5</x:v>
      </x:c>
      <x:c r="E671" s="62" t="n">
        <x:f>IF(OR(D671="",X671=""),"",IFERROR(DATEDIF(D671,X671,"y"),""))</x:f>
        <x:v>31</x:v>
      </x:c>
      <x:c r="F671" s="60"/>
      <x:c r="G671" s="63"/>
      <x:c r="H671" s="63"/>
      <x:c r="I671" s="61"/>
      <x:c r="J671" s="64" t="str">
        <x:f>IF(OR(I671="",X671=""),"",IFERROR(DATEDIF(I671,X671,"m")/12,""))</x:f>
      </x:c>
      <x:c r="K671" s="60" t="str">
        <x:v>FLAT2 3, 61-63 GLOUCESTER TERRACE, LONDON, W2 3DH</x:v>
      </x:c>
      <x:c r="L671" s="60" t="str">
        <x:v> W2 3DH</x:v>
      </x:c>
      <x:c r="M671" s="60"/>
      <x:c r="N671" s="60" t="str">
        <x:v>W2 3DH</x:v>
      </x:c>
      <x:c r="O671" s="61"/>
      <x:c r="P671" s="64" t="str">
        <x:f>IF(OR(O671="",I671=""),"",IFERROR(DATEDIF(O671,I671,"m")/12,""))</x:f>
      </x:c>
      <x:c r="Q671" s="60"/>
      <x:c r="R671" s="61"/>
      <x:c r="S671" s="64" t="str">
        <x:f>IF(OR(R671="",X671=""),"",IFERROR(DATEDIF(R671,X671,"m")/12,""))</x:f>
      </x:c>
      <x:c r="T671" s="60"/>
      <x:c r="U671" s="60" t="str">
        <x:v>TURNING EARTH E10 STUDIO</x:v>
      </x:c>
      <x:c r="V671" s="60"/>
      <x:c r="W671" s="63"/>
      <x:c r="X671" s="65" t="n">
        <x:f>TODAY()</x:f>
        <x:v>46250</x:v>
      </x:c>
    </x:row>
    <x:row r="672">
      <x:c r="A672" s="59" t="str">
        <x:v>SMIECENCH</x:v>
      </x:c>
      <x:c r="B672" s="60" t="str">
        <x:v>EMMANUEL</x:v>
      </x:c>
      <x:c r="C672" s="60"/>
      <x:c r="D672" s="61" t="n">
        <x:v>26477.5</x:v>
      </x:c>
      <x:c r="E672" s="62" t="n">
        <x:f>IF(OR(D672="",X672=""),"",IFERROR(DATEDIF(D672,X672,"y"),""))</x:f>
        <x:v>54</x:v>
      </x:c>
      <x:c r="F672" s="60"/>
      <x:c r="G672" s="63"/>
      <x:c r="H672" s="63" t="str">
        <x:v>PW976265B</x:v>
      </x:c>
      <x:c r="I672" s="61"/>
      <x:c r="J672" s="64" t="str">
        <x:f>IF(OR(I672="",X672=""),"",IFERROR(DATEDIF(I672,X672,"m")/12,""))</x:f>
      </x:c>
      <x:c r="K672" s="60"/>
      <x:c r="L672" s="60"/>
      <x:c r="M672" s="60"/>
      <x:c r="N672" s="60"/>
      <x:c r="O672" s="61"/>
      <x:c r="P672" s="64" t="str">
        <x:f>IF(OR(O672="",I672=""),"",IFERROR(DATEDIF(O672,I672,"m")/12,""))</x:f>
      </x:c>
      <x:c r="Q672" s="60"/>
      <x:c r="R672" s="61"/>
      <x:c r="S672" s="64" t="str">
        <x:f>IF(OR(R672="",X672=""),"",IFERROR(DATEDIF(R672,X672,"m")/12,""))</x:f>
      </x:c>
      <x:c r="T672" s="60"/>
      <x:c r="U672" s="60"/>
      <x:c r="V672" s="60"/>
      <x:c r="W672" s="63"/>
      <x:c r="X672" s="65" t="n">
        <x:f>TODAY()</x:f>
        <x:v>46250</x:v>
      </x:c>
    </x:row>
    <x:row r="673">
      <x:c r="A673" s="59" t="str">
        <x:v>SMITH</x:v>
      </x:c>
      <x:c r="B673" s="60" t="str">
        <x:v>CHARLOTTE</x:v>
      </x:c>
      <x:c r="C673" s="60"/>
      <x:c r="D673" s="61" t="n">
        <x:v>33071.5</x:v>
      </x:c>
      <x:c r="E673" s="62" t="n">
        <x:f>IF(OR(D673="",X673=""),"",IFERROR(DATEDIF(D673,X673,"y"),""))</x:f>
        <x:v>36</x:v>
      </x:c>
      <x:c r="F673" s="60" t="str">
        <x:v>THOMAS</x:v>
      </x:c>
      <x:c r="G673" s="63"/>
      <x:c r="H673" s="63"/>
      <x:c r="I673" s="61"/>
      <x:c r="J673" s="64" t="str">
        <x:f>IF(OR(I673="",X673=""),"",IFERROR(DATEDIF(I673,X673,"m")/12,""))</x:f>
      </x:c>
      <x:c r="K673" s="60" t="str">
        <x:v>162A STONHOUSE STREET, LONDON, SW4 6BE</x:v>
      </x:c>
      <x:c r="L673" s="60" t="str">
        <x:v> SW4 6BE</x:v>
      </x:c>
      <x:c r="M673" s="60"/>
      <x:c r="N673" s="60" t="str">
        <x:v>SW4 6BE</x:v>
      </x:c>
      <x:c r="O673" s="61"/>
      <x:c r="P673" s="64" t="str">
        <x:f>IF(OR(O673="",I673=""),"",IFERROR(DATEDIF(O673,I673,"m")/12,""))</x:f>
      </x:c>
      <x:c r="Q673" s="60"/>
      <x:c r="R673" s="61"/>
      <x:c r="S673" s="64" t="str">
        <x:f>IF(OR(R673="",X673=""),"",IFERROR(DATEDIF(R673,X673,"m")/12,""))</x:f>
      </x:c>
      <x:c r="T673" s="60"/>
      <x:c r="U673" s="60"/>
      <x:c r="V673" s="60"/>
      <x:c r="W673" s="63"/>
      <x:c r="X673" s="65" t="n">
        <x:f>TODAY()</x:f>
        <x:v>46250</x:v>
      </x:c>
    </x:row>
    <x:row r="674">
      <x:c r="A674" s="59" t="str">
        <x:v>SMITH</x:v>
      </x:c>
      <x:c r="B674" s="60" t="str">
        <x:v>EDWARD</x:v>
      </x:c>
      <x:c r="C674" s="60" t="str">
        <x:v>JOHN</x:v>
      </x:c>
      <x:c r="D674" s="61" t="n">
        <x:v>32767.5</x:v>
      </x:c>
      <x:c r="E674" s="62" t="n">
        <x:f>IF(OR(D674="",X674=""),"",IFERROR(DATEDIF(D674,X674,"y"),""))</x:f>
        <x:v>36</x:v>
      </x:c>
      <x:c r="F674" s="60" t="str">
        <x:v>CROUCH</x:v>
      </x:c>
      <x:c r="G674" s="63"/>
      <x:c r="H674" s="63"/>
      <x:c r="I674" s="61" t="n">
        <x:v>43191.5</x:v>
      </x:c>
      <x:c r="J674" s="64" t="n">
        <x:f>IF(OR(I674="",X674=""),"",IFERROR(DATEDIF(I674,X674,"m")/12,""))</x:f>
        <x:v>8.333333333333334</x:v>
      </x:c>
      <x:c r="K674" s="60" t="str">
        <x:v>FLAT 9, 59 BONDWAY, LONDON SW8 1SJ</x:v>
      </x:c>
      <x:c r="L674" s="60"/>
      <x:c r="M674" s="60"/>
      <x:c r="N674" s="60"/>
      <x:c r="O674" s="61"/>
      <x:c r="P674" s="64" t="str">
        <x:f>IF(OR(O674="",I674=""),"",IFERROR(DATEDIF(O674,I674,"m")/12,""))</x:f>
      </x:c>
      <x:c r="Q674" s="60"/>
      <x:c r="R674" s="61"/>
      <x:c r="S674" s="64" t="str">
        <x:f>IF(OR(R674="",X674=""),"",IFERROR(DATEDIF(R674,X674,"m")/12,""))</x:f>
      </x:c>
      <x:c r="T674" s="60"/>
      <x:c r="U674" s="60"/>
      <x:c r="V674" s="60"/>
      <x:c r="W674" s="63"/>
      <x:c r="X674" s="65" t="n">
        <x:f>TODAY()</x:f>
        <x:v>46250</x:v>
      </x:c>
    </x:row>
    <x:row r="675">
      <x:c r="A675" s="59" t="str">
        <x:v>SMOJE</x:v>
      </x:c>
      <x:c r="B675" s="60" t="str">
        <x:v>DARIO</x:v>
      </x:c>
      <x:c r="C675" s="60"/>
      <x:c r="D675" s="61" t="n">
        <x:v>28752.5</x:v>
      </x:c>
      <x:c r="E675" s="62" t="n">
        <x:f>IF(OR(D675="",X675=""),"",IFERROR(DATEDIF(D675,X675,"y"),""))</x:f>
        <x:v>47</x:v>
      </x:c>
      <x:c r="F675" s="60"/>
      <x:c r="G675" s="63"/>
      <x:c r="H675" s="63"/>
      <x:c r="I675" s="61"/>
      <x:c r="J675" s="64" t="str">
        <x:f>IF(OR(I675="",X675=""),"",IFERROR(DATEDIF(I675,X675,"m")/12,""))</x:f>
      </x:c>
      <x:c r="K675" s="60" t="str">
        <x:v>FLAT D, 1 QUEENS GATE PLACE, LONDON, SW7 5NS</x:v>
      </x:c>
      <x:c r="L675" s="60" t="str">
        <x:v> SW7 5NS</x:v>
      </x:c>
      <x:c r="M675" s="60"/>
      <x:c r="N675" s="60" t="str">
        <x:v>SW7 5NS</x:v>
      </x:c>
      <x:c r="O675" s="61"/>
      <x:c r="P675" s="64" t="str">
        <x:f>IF(OR(O675="",I675=""),"",IFERROR(DATEDIF(O675,I675,"m")/12,""))</x:f>
      </x:c>
      <x:c r="Q675" s="60" t="str">
        <x:v>2ND FLOOR CAVENDISH PLACE LONDON W1G 0DD</x:v>
      </x:c>
      <x:c r="R675" s="61"/>
      <x:c r="S675" s="64" t="str">
        <x:f>IF(OR(R675="",X675=""),"",IFERROR(DATEDIF(R675,X675,"m")/12,""))</x:f>
      </x:c>
      <x:c r="T675" s="60"/>
      <x:c r="U675" s="60"/>
      <x:c r="V675" s="60"/>
      <x:c r="W675" s="63"/>
      <x:c r="X675" s="65" t="n">
        <x:f>TODAY()</x:f>
        <x:v>46250</x:v>
      </x:c>
    </x:row>
    <x:row r="676">
      <x:c r="A676" s="59" t="str">
        <x:v>SOERENSEN</x:v>
      </x:c>
      <x:c r="B676" s="60" t="str">
        <x:v>MADS</x:v>
      </x:c>
      <x:c r="C676" s="60"/>
      <x:c r="D676" s="61"/>
      <x:c r="E676" s="62" t="str">
        <x:f>IF(OR(D676="",X676=""),"",IFERROR(DATEDIF(D676,X676,"y"),""))</x:f>
      </x:c>
      <x:c r="F676" s="60"/>
      <x:c r="G676" s="63"/>
      <x:c r="H676" s="63"/>
      <x:c r="I676" s="61"/>
      <x:c r="J676" s="64" t="str">
        <x:f>IF(OR(I676="",X676=""),"",IFERROR(DATEDIF(I676,X676,"m")/12,""))</x:f>
      </x:c>
      <x:c r="K676" s="60" t="str">
        <x:v>FLAT 8, 39 DRAYCOTT PLACE, LONDON, SW3 2SH</x:v>
      </x:c>
      <x:c r="L676" s="60" t="str">
        <x:v> SW3 2SH</x:v>
      </x:c>
      <x:c r="M676" s="60"/>
      <x:c r="N676" s="60" t="str">
        <x:v>SW3 2SH</x:v>
      </x:c>
      <x:c r="O676" s="61"/>
      <x:c r="P676" s="64" t="str">
        <x:f>IF(OR(O676="",I676=""),"",IFERROR(DATEDIF(O676,I676,"m")/12,""))</x:f>
      </x:c>
      <x:c r="Q676" s="60"/>
      <x:c r="R676" s="61"/>
      <x:c r="S676" s="64" t="str">
        <x:f>IF(OR(R676="",X676=""),"",IFERROR(DATEDIF(R676,X676,"m")/12,""))</x:f>
      </x:c>
      <x:c r="T676" s="60"/>
      <x:c r="U676" s="60"/>
      <x:c r="V676" s="60"/>
      <x:c r="W676" s="63"/>
      <x:c r="X676" s="65" t="n">
        <x:f>TODAY()</x:f>
        <x:v>46250</x:v>
      </x:c>
    </x:row>
    <x:row r="677">
      <x:c r="A677" s="59" t="str">
        <x:v>SPENCER-DAVISON</x:v>
      </x:c>
      <x:c r="B677" s="60" t="str">
        <x:v>GARWIN</x:v>
      </x:c>
      <x:c r="C677" s="60" t="str">
        <x:v>BERNARD</x:v>
      </x:c>
      <x:c r="D677" s="61" t="n">
        <x:v>20330.5</x:v>
      </x:c>
      <x:c r="E677" s="62" t="n">
        <x:f>IF(OR(D677="",X677=""),"",IFERROR(DATEDIF(D677,X677,"y"),""))</x:f>
        <x:v>70</x:v>
      </x:c>
      <x:c r="F677" s="60"/>
      <x:c r="G677" s="63" t="str">
        <x:v>‭07564 844716‬</x:v>
      </x:c>
      <x:c r="H677" s="63"/>
      <x:c r="I677" s="61" t="n">
        <x:v>45567.5</x:v>
      </x:c>
      <x:c r="J677" s="64" t="n">
        <x:f>IF(OR(I677="",X677=""),"",IFERROR(DATEDIF(I677,X677,"m")/12,""))</x:f>
        <x:v>1.8333333333333333</x:v>
      </x:c>
      <x:c r="K677" s="60" t="str">
        <x:v>2 CLANRICARDE GARDENS, LONDON, W2 4NA</x:v>
      </x:c>
      <x:c r="L677" s="60" t="str">
        <x:v> W2 4NA</x:v>
      </x:c>
      <x:c r="M677" s="60"/>
      <x:c r="N677" s="60" t="str">
        <x:v>W2 4NA</x:v>
      </x:c>
      <x:c r="O677" s="61"/>
      <x:c r="P677" s="64" t="str">
        <x:f>IF(OR(O677="",I677=""),"",IFERROR(DATEDIF(O677,I677,"m")/12,""))</x:f>
      </x:c>
      <x:c r="Q677" s="60"/>
      <x:c r="R677" s="61"/>
      <x:c r="S677" s="64" t="str">
        <x:f>IF(OR(R677="",X677=""),"",IFERROR(DATEDIF(R677,X677,"m")/12,""))</x:f>
      </x:c>
      <x:c r="T677" s="60"/>
      <x:c r="U677" s="60"/>
      <x:c r="V677" s="60"/>
      <x:c r="W677" s="63"/>
      <x:c r="X677" s="65" t="n">
        <x:f>TODAY()</x:f>
        <x:v>46250</x:v>
      </x:c>
    </x:row>
    <x:row r="678">
      <x:c r="A678" s="59" t="str">
        <x:v>SPICER</x:v>
      </x:c>
      <x:c r="B678" s="60" t="str">
        <x:v>WILLIAM</x:v>
      </x:c>
      <x:c r="C678" s="60"/>
      <x:c r="D678" s="61" t="n">
        <x:v>32300.5</x:v>
      </x:c>
      <x:c r="E678" s="62" t="n">
        <x:f>IF(OR(D678="",X678=""),"",IFERROR(DATEDIF(D678,X678,"y"),""))</x:f>
        <x:v>38</x:v>
      </x:c>
      <x:c r="F678" s="60"/>
      <x:c r="G678" s="63"/>
      <x:c r="H678" s="63"/>
      <x:c r="I678" s="61"/>
      <x:c r="J678" s="64" t="str">
        <x:f>IF(OR(I678="",X678=""),"",IFERROR(DATEDIF(I678,X678,"m")/12,""))</x:f>
      </x:c>
      <x:c r="K678" s="60"/>
      <x:c r="L678" s="60"/>
      <x:c r="M678" s="60"/>
      <x:c r="N678" s="60"/>
      <x:c r="O678" s="61"/>
      <x:c r="P678" s="64" t="str">
        <x:f>IF(OR(O678="",I678=""),"",IFERROR(DATEDIF(O678,I678,"m")/12,""))</x:f>
      </x:c>
      <x:c r="Q678" s="60"/>
      <x:c r="R678" s="61"/>
      <x:c r="S678" s="64" t="str">
        <x:f>IF(OR(R678="",X678=""),"",IFERROR(DATEDIF(R678,X678,"m")/12,""))</x:f>
      </x:c>
      <x:c r="T678" s="60"/>
      <x:c r="U678" s="60"/>
      <x:c r="V678" s="60"/>
      <x:c r="W678" s="63"/>
      <x:c r="X678" s="65" t="n">
        <x:f>TODAY()</x:f>
        <x:v>46250</x:v>
      </x:c>
    </x:row>
    <x:row r="679">
      <x:c r="A679" s="59" t="str">
        <x:v>SPILKY</x:v>
      </x:c>
      <x:c r="B679" s="60" t="str">
        <x:v>JONATHAN</x:v>
      </x:c>
      <x:c r="C679" s="60"/>
      <x:c r="D679" s="61" t="n">
        <x:v>34310.5</x:v>
      </x:c>
      <x:c r="E679" s="62" t="n">
        <x:f>IF(OR(D679="",X679=""),"",IFERROR(DATEDIF(D679,X679,"y"),""))</x:f>
        <x:v>32</x:v>
      </x:c>
      <x:c r="F679" s="60"/>
      <x:c r="G679" s="63"/>
      <x:c r="H679" s="63"/>
      <x:c r="I679" s="61"/>
      <x:c r="J679" s="64" t="str">
        <x:f>IF(OR(I679="",X679=""),"",IFERROR(DATEDIF(I679,X679,"m")/12,""))</x:f>
      </x:c>
      <x:c r="K679" s="60"/>
      <x:c r="L679" s="60"/>
      <x:c r="M679" s="60"/>
      <x:c r="N679" s="60"/>
      <x:c r="O679" s="61"/>
      <x:c r="P679" s="64" t="str">
        <x:f>IF(OR(O679="",I679=""),"",IFERROR(DATEDIF(O679,I679,"m")/12,""))</x:f>
      </x:c>
      <x:c r="Q679" s="60"/>
      <x:c r="R679" s="61"/>
      <x:c r="S679" s="64" t="str">
        <x:f>IF(OR(R679="",X679=""),"",IFERROR(DATEDIF(R679,X679,"m")/12,""))</x:f>
      </x:c>
      <x:c r="T679" s="60"/>
      <x:c r="U679" s="60"/>
      <x:c r="V679" s="60"/>
      <x:c r="W679" s="63"/>
      <x:c r="X679" s="65" t="n">
        <x:f>TODAY()</x:f>
        <x:v>46250</x:v>
      </x:c>
    </x:row>
    <x:row r="680">
      <x:c r="A680" s="59" t="str">
        <x:v>SRINIVASAN</x:v>
      </x:c>
      <x:c r="B680" s="60" t="str">
        <x:v>NARMATHA</x:v>
      </x:c>
      <x:c r="C680" s="60"/>
      <x:c r="D680" s="61" t="n">
        <x:v>26511.5</x:v>
      </x:c>
      <x:c r="E680" s="62" t="n">
        <x:f>IF(OR(D680="",X680=""),"",IFERROR(DATEDIF(D680,X680,"y"),""))</x:f>
        <x:v>54</x:v>
      </x:c>
      <x:c r="F680" s="60"/>
      <x:c r="G680" s="63"/>
      <x:c r="H680" s="63"/>
      <x:c r="I680" s="61" t="n">
        <x:v>40087.5</x:v>
      </x:c>
      <x:c r="J680" s="64" t="n">
        <x:f>IF(OR(I680="",X680=""),"",IFERROR(DATEDIF(I680,X680,"m")/12,""))</x:f>
        <x:v>16.833333333333332</x:v>
      </x:c>
      <x:c r="K680" s="60" t="str">
        <x:v>FLAT C, 4 COMYN ROAD, LONDON, SW11 1QD</x:v>
      </x:c>
      <x:c r="L680" s="60" t="str">
        <x:v> SW11 1QD</x:v>
      </x:c>
      <x:c r="M680" s="60"/>
      <x:c r="N680" s="60" t="str">
        <x:v>SW11 1QD</x:v>
      </x:c>
      <x:c r="O680" s="61"/>
      <x:c r="P680" s="64" t="str">
        <x:f>IF(OR(O680="",I680=""),"",IFERROR(DATEDIF(O680,I680,"m")/12,""))</x:f>
      </x:c>
      <x:c r="Q680" s="60"/>
      <x:c r="R680" s="61"/>
      <x:c r="S680" s="64" t="str">
        <x:f>IF(OR(R680="",X680=""),"",IFERROR(DATEDIF(R680,X680,"m")/12,""))</x:f>
      </x:c>
      <x:c r="T680" s="60" t="str">
        <x:v>BUSINESS ANALYST</x:v>
      </x:c>
      <x:c r="U680" s="60" t="str">
        <x:v>TRAFALGAR ENERTAINMENT</x:v>
      </x:c>
      <x:c r="V680" s="60" t="str">
        <x:v>8TH FLOOR, 55 STRAND, LONDON WC2N 5LR</x:v>
      </x:c>
      <x:c r="W680" s="63" t="str">
        <x:v>02074511710</x:v>
      </x:c>
      <x:c r="X680" s="65" t="n">
        <x:f>TODAY()</x:f>
        <x:v>46250</x:v>
      </x:c>
    </x:row>
    <x:row r="681">
      <x:c r="A681" s="59" t="str">
        <x:v>STAGNER</x:v>
      </x:c>
      <x:c r="B681" s="60" t="str">
        <x:v>ROBERT</x:v>
      </x:c>
      <x:c r="C681" s="60" t="str">
        <x:v>KEITH</x:v>
      </x:c>
      <x:c r="D681" s="61" t="n">
        <x:v>23642.5</x:v>
      </x:c>
      <x:c r="E681" s="62" t="n">
        <x:f>IF(OR(D681="",X681=""),"",IFERROR(DATEDIF(D681,X681,"y"),""))</x:f>
        <x:v>61</x:v>
      </x:c>
      <x:c r="F681" s="60"/>
      <x:c r="G681" s="63"/>
      <x:c r="H681" s="63"/>
      <x:c r="I681" s="61" t="n">
        <x:v>37469.5</x:v>
      </x:c>
      <x:c r="J681" s="64" t="n">
        <x:f>IF(OR(I681="",X681=""),"",IFERROR(DATEDIF(I681,X681,"m")/12,""))</x:f>
        <x:v>24</x:v>
      </x:c>
      <x:c r="K681" s="60" t="str">
        <x:v>FLAT 2, 207 SUSSEX GARDENS, LONDON, W2 2RJ</x:v>
      </x:c>
      <x:c r="L681" s="60" t="str">
        <x:v> W2 2RJ</x:v>
      </x:c>
      <x:c r="M681" s="60"/>
      <x:c r="N681" s="60" t="str">
        <x:v>W2 2RJ</x:v>
      </x:c>
      <x:c r="O681" s="61"/>
      <x:c r="P681" s="64" t="str">
        <x:f>IF(OR(O681="",I681=""),"",IFERROR(DATEDIF(O681,I681,"m")/12,""))</x:f>
      </x:c>
      <x:c r="Q681" s="60"/>
      <x:c r="R681" s="61"/>
      <x:c r="S681" s="64" t="str">
        <x:f>IF(OR(R681="",X681=""),"",IFERROR(DATEDIF(R681,X681,"m")/12,""))</x:f>
      </x:c>
      <x:c r="T681" s="60"/>
      <x:c r="U681" s="60"/>
      <x:c r="V681" s="60"/>
      <x:c r="W681" s="63"/>
      <x:c r="X681" s="65" t="n">
        <x:f>TODAY()</x:f>
        <x:v>46250</x:v>
      </x:c>
    </x:row>
    <x:row r="682">
      <x:c r="A682" s="59" t="str">
        <x:v>STAGNER</x:v>
      </x:c>
      <x:c r="B682" s="60" t="str">
        <x:v>KATRINA</x:v>
      </x:c>
      <x:c r="C682" s="60" t="str">
        <x:v>ANA</x:v>
      </x:c>
      <x:c r="D682" s="61" t="n">
        <x:v>28158.5</x:v>
      </x:c>
      <x:c r="E682" s="62" t="n">
        <x:f>IF(OR(D682="",X682=""),"",IFERROR(DATEDIF(D682,X682,"y"),""))</x:f>
        <x:v>49</x:v>
      </x:c>
      <x:c r="F682" s="60" t="str">
        <x:v>ABENDANO</x:v>
      </x:c>
      <x:c r="G682" s="63" t="str">
        <x:v>07312041068</x:v>
      </x:c>
      <x:c r="H682" s="63"/>
      <x:c r="I682" s="61"/>
      <x:c r="J682" s="64" t="str">
        <x:f>IF(OR(I682="",X682=""),"",IFERROR(DATEDIF(I682,X682,"m")/12,""))</x:f>
      </x:c>
      <x:c r="K682" s="60"/>
      <x:c r="L682" s="60"/>
      <x:c r="M682" s="60"/>
      <x:c r="N682" s="60"/>
      <x:c r="O682" s="61"/>
      <x:c r="P682" s="64" t="str">
        <x:f>IF(OR(O682="",I682=""),"",IFERROR(DATEDIF(O682,I682,"m")/12,""))</x:f>
      </x:c>
      <x:c r="Q682" s="60"/>
      <x:c r="R682" s="61"/>
      <x:c r="S682" s="64" t="str">
        <x:f>IF(OR(R682="",X682=""),"",IFERROR(DATEDIF(R682,X682,"m")/12,""))</x:f>
      </x:c>
      <x:c r="T682" s="60"/>
      <x:c r="U682" s="60"/>
      <x:c r="V682" s="60"/>
      <x:c r="W682" s="63"/>
      <x:c r="X682" s="65" t="n">
        <x:f>TODAY()</x:f>
        <x:v>46250</x:v>
      </x:c>
    </x:row>
    <x:row r="683">
      <x:c r="A683" s="59" t="str">
        <x:v>STAMBOULIE</x:v>
      </x:c>
      <x:c r="B683" s="60" t="str">
        <x:v>LAUREN</x:v>
      </x:c>
      <x:c r="C683" s="60" t="str">
        <x:v>ALEXANDRA</x:v>
      </x:c>
      <x:c r="D683" s="61" t="n">
        <x:v>33028.5</x:v>
      </x:c>
      <x:c r="E683" s="62" t="n">
        <x:f>IF(OR(D683="",X683=""),"",IFERROR(DATEDIF(D683,X683,"y"),""))</x:f>
        <x:v>36</x:v>
      </x:c>
      <x:c r="F683" s="60"/>
      <x:c r="G683" s="63" t="str">
        <x:v>07803725075</x:v>
      </x:c>
      <x:c r="H683" s="63"/>
      <x:c r="I683" s="61" t="n">
        <x:v>44287.5</x:v>
      </x:c>
      <x:c r="J683" s="64" t="n">
        <x:f>IF(OR(I683="",X683=""),"",IFERROR(DATEDIF(I683,X683,"m")/12,""))</x:f>
        <x:v>5.333333333333333</x:v>
      </x:c>
      <x:c r="K683" s="60" t="str">
        <x:v>16A, CAXTON ROAD, LONDON, W12 8AJ</x:v>
      </x:c>
      <x:c r="L683" s="60" t="str">
        <x:v> W12 8AJ</x:v>
      </x:c>
      <x:c r="M683" s="60"/>
      <x:c r="N683" s="60" t="str">
        <x:v>W12 8AJ</x:v>
      </x:c>
      <x:c r="O683" s="61" t="n">
        <x:v>42217.5</x:v>
      </x:c>
      <x:c r="P683" s="64" t="n">
        <x:f>IF(OR(O683="",I683=""),"",IFERROR(DATEDIF(O683,I683,"m")/12,""))</x:f>
        <x:v>5.666666666666667</x:v>
      </x:c>
      <x:c r="Q683" s="60" t="str">
        <x:v>6, ST GEORGES ROAD, RICHMOND, TW9 2LE</x:v>
      </x:c>
      <x:c r="R683" s="61"/>
      <x:c r="S683" s="64" t="str">
        <x:f>IF(OR(R683="",X683=""),"",IFERROR(DATEDIF(R683,X683,"m")/12,""))</x:f>
      </x:c>
      <x:c r="T683" s="60" t="str">
        <x:v>BRAND MANAGER</x:v>
      </x:c>
      <x:c r="U683" s="60"/>
      <x:c r="V683" s="60"/>
      <x:c r="W683" s="63"/>
      <x:c r="X683" s="65" t="n">
        <x:f>TODAY()</x:f>
        <x:v>46250</x:v>
      </x:c>
    </x:row>
    <x:row r="684">
      <x:c r="A684" s="59" t="str">
        <x:v>STAN</x:v>
      </x:c>
      <x:c r="B684" s="60" t="str">
        <x:v>CIPRIAN</x:v>
      </x:c>
      <x:c r="C684" s="60"/>
      <x:c r="D684" s="61"/>
      <x:c r="E684" s="62" t="str">
        <x:f>IF(OR(D684="",X684=""),"",IFERROR(DATEDIF(D684,X684,"y"),""))</x:f>
      </x:c>
      <x:c r="F684" s="60"/>
      <x:c r="G684" s="63"/>
      <x:c r="H684" s="63"/>
      <x:c r="I684" s="61" t="n">
        <x:v>42430.5</x:v>
      </x:c>
      <x:c r="J684" s="64" t="n">
        <x:f>IF(OR(I684="",X684=""),"",IFERROR(DATEDIF(I684,X684,"m")/12,""))</x:f>
        <x:v>10.416666666666666</x:v>
      </x:c>
      <x:c r="K684" s="60" t="str">
        <x:v>FLAT 7, 61-63 GLOUCESTER TERRACE, LONDON, W2 3DH</x:v>
      </x:c>
      <x:c r="L684" s="60" t="str">
        <x:v> W2 3DH</x:v>
      </x:c>
      <x:c r="M684" s="60"/>
      <x:c r="N684" s="60" t="str">
        <x:v>W2 3DH</x:v>
      </x:c>
      <x:c r="O684" s="61"/>
      <x:c r="P684" s="64" t="str">
        <x:f>IF(OR(O684="",I684=""),"",IFERROR(DATEDIF(O684,I684,"m")/12,""))</x:f>
      </x:c>
      <x:c r="Q684" s="60"/>
      <x:c r="R684" s="61"/>
      <x:c r="S684" s="64" t="str">
        <x:f>IF(OR(R684="",X684=""),"",IFERROR(DATEDIF(R684,X684,"m")/12,""))</x:f>
      </x:c>
      <x:c r="T684" s="60"/>
      <x:c r="U684" s="60"/>
      <x:c r="V684" s="60"/>
      <x:c r="W684" s="63"/>
      <x:c r="X684" s="65" t="n">
        <x:f>TODAY()</x:f>
        <x:v>46250</x:v>
      </x:c>
    </x:row>
    <x:row r="685">
      <x:c r="A685" s="59" t="str">
        <x:v>STANTON</x:v>
      </x:c>
      <x:c r="B685" s="60" t="str">
        <x:v>ADAM</x:v>
      </x:c>
      <x:c r="C685" s="60" t="str">
        <x:v>ARTHUR JAMES</x:v>
      </x:c>
      <x:c r="D685" s="61" t="n">
        <x:v>28957.5</x:v>
      </x:c>
      <x:c r="E685" s="62" t="n">
        <x:f>IF(OR(D685="",X685=""),"",IFERROR(DATEDIF(D685,X685,"y"),""))</x:f>
        <x:v>47</x:v>
      </x:c>
      <x:c r="F685" s="60" t="str">
        <x:v>MCNALLY</x:v>
      </x:c>
      <x:c r="G685" s="63"/>
      <x:c r="H685" s="63"/>
      <x:c r="I685" s="61"/>
      <x:c r="J685" s="64" t="str">
        <x:f>IF(OR(I685="",X685=""),"",IFERROR(DATEDIF(I685,X685,"m")/12,""))</x:f>
      </x:c>
      <x:c r="K685" s="60" t="str">
        <x:v>218 SUSSEX GARDENS, LONDON, UNITED KINGDOM, W2 3UD</x:v>
      </x:c>
      <x:c r="L685" s="60" t="str">
        <x:v> UNITED KINGDOM, W2 3UD</x:v>
      </x:c>
      <x:c r="M685" s="60"/>
      <x:c r="N685" s="60" t="str">
        <x:v> W2 3UD</x:v>
      </x:c>
      <x:c r="O685" s="61"/>
      <x:c r="P685" s="64" t="str">
        <x:f>IF(OR(O685="",I685=""),"",IFERROR(DATEDIF(O685,I685,"m")/12,""))</x:f>
      </x:c>
      <x:c r="Q685" s="60"/>
      <x:c r="R685" s="61"/>
      <x:c r="S685" s="64" t="str">
        <x:f>IF(OR(R685="",X685=""),"",IFERROR(DATEDIF(R685,X685,"m")/12,""))</x:f>
      </x:c>
      <x:c r="T685" s="60"/>
      <x:c r="U685" s="60"/>
      <x:c r="V685" s="60"/>
      <x:c r="W685" s="63"/>
      <x:c r="X685" s="65" t="n">
        <x:f>TODAY()</x:f>
        <x:v>46250</x:v>
      </x:c>
    </x:row>
    <x:row r="686">
      <x:c r="A686" s="59" t="str">
        <x:v>STEBBING</x:v>
      </x:c>
      <x:c r="B686" s="60" t="str">
        <x:v>JUSTIN</x:v>
      </x:c>
      <x:c r="C686" s="60" t="str">
        <x:v>JACK</x:v>
      </x:c>
      <x:c r="D686" s="61" t="n">
        <x:v>25954.5</x:v>
      </x:c>
      <x:c r="E686" s="62" t="n">
        <x:f>IF(OR(D686="",X686=""),"",IFERROR(DATEDIF(D686,X686,"y"),""))</x:f>
        <x:v>55</x:v>
      </x:c>
      <x:c r="F686" s="60" t="str">
        <x:v>BGARNETT</x:v>
      </x:c>
      <x:c r="G686" s="63" t="str">
        <x:v>07749877010</x:v>
      </x:c>
      <x:c r="H686" s="63" t="str">
        <x:v>NW538955C</x:v>
      </x:c>
      <x:c r="I686" s="61" t="n">
        <x:v>42979.5</x:v>
      </x:c>
      <x:c r="J686" s="64" t="n">
        <x:f>IF(OR(I686="",X686=""),"",IFERROR(DATEDIF(I686,X686,"m")/12,""))</x:f>
        <x:v>8.916666666666666</x:v>
      </x:c>
      <x:c r="K686" s="60" t="str">
        <x:v>FLAT 7, 47 CADOGAN GARDENS, LONDON, SW3 2TH</x:v>
      </x:c>
      <x:c r="L686" s="60" t="str">
        <x:v> SW3 2TH</x:v>
      </x:c>
      <x:c r="M686" s="60"/>
      <x:c r="N686" s="60" t="str">
        <x:v>SW3 2TH</x:v>
      </x:c>
      <x:c r="O686" s="61"/>
      <x:c r="P686" s="64" t="str">
        <x:f>IF(OR(O686="",I686=""),"",IFERROR(DATEDIF(O686,I686,"m")/12,""))</x:f>
      </x:c>
      <x:c r="Q686" s="60"/>
      <x:c r="R686" s="61" t="n">
        <x:v>44835.5</x:v>
      </x:c>
      <x:c r="S686" s="64" t="n">
        <x:f>IF(OR(R686="",X686=""),"",IFERROR(DATEDIF(R686,X686,"m")/12,""))</x:f>
        <x:v>3.8333333333333335</x:v>
      </x:c>
      <x:c r="T686" s="60" t="str">
        <x:v>CONSULTANT ONCOLOGIST</x:v>
      </x:c>
      <x:c r="U686" s="60" t="str">
        <x:v>PHOENIX HOSPITAL GROUP</x:v>
      </x:c>
      <x:c r="V686" s="60" t="str">
        <x:v>9 HARLEY STREET, LONDON, W1G 9QY</x:v>
      </x:c>
      <x:c r="W686" s="63"/>
      <x:c r="X686" s="65" t="n">
        <x:f>TODAY()</x:f>
        <x:v>46250</x:v>
      </x:c>
    </x:row>
    <x:row r="687">
      <x:c r="A687" s="59" t="str">
        <x:v>STEEDS</x:v>
      </x:c>
      <x:c r="B687" s="60" t="str">
        <x:v>MARK</x:v>
      </x:c>
      <x:c r="C687" s="60" t="str">
        <x:v>LAWRENCE GEORGE</x:v>
      </x:c>
      <x:c r="D687" s="61" t="n">
        <x:v>22996.5</x:v>
      </x:c>
      <x:c r="E687" s="62" t="n">
        <x:f>IF(OR(D687="",X687=""),"",IFERROR(DATEDIF(D687,X687,"y"),""))</x:f>
        <x:v>63</x:v>
      </x:c>
      <x:c r="F687" s="60" t="str">
        <x:v>UNWIN</x:v>
      </x:c>
      <x:c r="G687" s="63" t="str">
        <x:v>07379310333</x:v>
      </x:c>
      <x:c r="H687" s="63"/>
      <x:c r="I687" s="61" t="n">
        <x:v>32782.5</x:v>
      </x:c>
      <x:c r="J687" s="64" t="n">
        <x:f>IF(OR(I687="",X687=""),"",IFERROR(DATEDIF(I687,X687,"m")/12,""))</x:f>
        <x:v>36.833333333333336</x:v>
      </x:c>
      <x:c r="K687" s="60" t="str">
        <x:v>21, PHILBEACH GARDENS, LONDON, LONDON, SW5 9DY</x:v>
      </x:c>
      <x:c r="L687" s="60" t="str">
        <x:v> LONDON, SW5 9DY</x:v>
      </x:c>
      <x:c r="M687" s="60"/>
      <x:c r="N687" s="60" t="str">
        <x:v> SW5 9DY</x:v>
      </x:c>
      <x:c r="O687" s="61"/>
      <x:c r="P687" s="64" t="str">
        <x:f>IF(OR(O687="",I687=""),"",IFERROR(DATEDIF(O687,I687,"m")/12,""))</x:f>
      </x:c>
      <x:c r="Q687" s="60"/>
      <x:c r="R687" s="61"/>
      <x:c r="S687" s="64" t="str">
        <x:f>IF(OR(R687="",X687=""),"",IFERROR(DATEDIF(R687,X687,"m")/12,""))</x:f>
      </x:c>
      <x:c r="T687" s="60"/>
      <x:c r="U687" s="60"/>
      <x:c r="V687" s="60"/>
      <x:c r="W687" s="63" t="str">
        <x:v>020 3962 5555</x:v>
      </x:c>
      <x:c r="X687" s="65" t="n">
        <x:f>TODAY()</x:f>
        <x:v>46250</x:v>
      </x:c>
    </x:row>
    <x:row r="688">
      <x:c r="A688" s="59" t="str">
        <x:v>STEEDS</x:v>
      </x:c>
      <x:c r="B688" s="60" t="str">
        <x:v>SARENA</x:v>
      </x:c>
      <x:c r="C688" s="60"/>
      <x:c r="D688" s="61" t="n">
        <x:v>24186.5</x:v>
      </x:c>
      <x:c r="E688" s="62" t="n">
        <x:f>IF(OR(D688="",X688=""),"",IFERROR(DATEDIF(D688,X688,"y"),""))</x:f>
        <x:v>60</x:v>
      </x:c>
      <x:c r="F688" s="60" t="str">
        <x:v>AHUJA</x:v>
      </x:c>
      <x:c r="G688" s="63"/>
      <x:c r="H688" s="63"/>
      <x:c r="I688" s="61" t="n">
        <x:v>32782.5</x:v>
      </x:c>
      <x:c r="J688" s="64" t="n">
        <x:f>IF(OR(I688="",X688=""),"",IFERROR(DATEDIF(I688,X688,"m")/12,""))</x:f>
        <x:v>36.833333333333336</x:v>
      </x:c>
      <x:c r="K688" s="60" t="str">
        <x:v>21, PHILBEACH GARDENS, LONDON, LONDON, SW5 9DY</x:v>
      </x:c>
      <x:c r="L688" s="60" t="str">
        <x:v> LONDON, SW5 9DY</x:v>
      </x:c>
      <x:c r="M688" s="60"/>
      <x:c r="N688" s="60" t="str">
        <x:v> SW5 9DY</x:v>
      </x:c>
      <x:c r="O688" s="61"/>
      <x:c r="P688" s="64" t="str">
        <x:f>IF(OR(O688="",I688=""),"",IFERROR(DATEDIF(O688,I688,"m")/12,""))</x:f>
      </x:c>
      <x:c r="Q688" s="60"/>
      <x:c r="R688" s="61" t="n">
        <x:v>41275.5</x:v>
      </x:c>
      <x:c r="S688" s="64" t="n">
        <x:f>IF(OR(R688="",X688=""),"",IFERROR(DATEDIF(R688,X688,"m")/12,""))</x:f>
        <x:v>13.583333333333334</x:v>
      </x:c>
      <x:c r="T688" s="60" t="str">
        <x:v>OIL &amp; ENERGY PROFESSIONAL</x:v>
      </x:c>
      <x:c r="U688" s="60" t="str">
        <x:v>BP</x:v>
      </x:c>
      <x:c r="V688" s="60" t="str">
        <x:v>1 ST JAMES SQUARE, LONDON, SW1Y 4PD</x:v>
      </x:c>
      <x:c r="W688" s="63" t="str">
        <x:v>020 3962 5555</x:v>
      </x:c>
      <x:c r="X688" s="65" t="n">
        <x:f>TODAY()</x:f>
        <x:v>46250</x:v>
      </x:c>
    </x:row>
    <x:row r="689">
      <x:c r="A689" s="59" t="str">
        <x:v>STEEPLES</x:v>
      </x:c>
      <x:c r="B689" s="60" t="str">
        <x:v>JOSHUA</x:v>
      </x:c>
      <x:c r="C689" s="60" t="str">
        <x:v>CAIRN</x:v>
      </x:c>
      <x:c r="D689" s="61" t="n">
        <x:v>32905.5</x:v>
      </x:c>
      <x:c r="E689" s="62" t="n">
        <x:f>IF(OR(D689="",X689=""),"",IFERROR(DATEDIF(D689,X689,"y"),""))</x:f>
        <x:v>36</x:v>
      </x:c>
      <x:c r="F689" s="60" t="str">
        <x:v>MARSHALL</x:v>
      </x:c>
      <x:c r="G689" s="63" t="str">
        <x:v>07951951688</x:v>
      </x:c>
      <x:c r="H689" s="63" t="str">
        <x:v>JR088882C</x:v>
      </x:c>
      <x:c r="I689" s="61" t="n">
        <x:v>42430.5</x:v>
      </x:c>
      <x:c r="J689" s="64" t="n">
        <x:f>IF(OR(I689="",X689=""),"",IFERROR(DATEDIF(I689,X689,"m")/12,""))</x:f>
        <x:v>10.416666666666666</x:v>
      </x:c>
      <x:c r="K689" s="60" t="str">
        <x:v>FLAT 2, 100 CLAPHAM COMMON SOUTH SIDE, LONDON, SW4 9DN</x:v>
      </x:c>
      <x:c r="L689" s="60" t="str">
        <x:v> SW4 9DN</x:v>
      </x:c>
      <x:c r="M689" s="60"/>
      <x:c r="N689" s="60" t="str">
        <x:v>SW4 9DN</x:v>
      </x:c>
      <x:c r="O689" s="61"/>
      <x:c r="P689" s="64" t="str">
        <x:f>IF(OR(O689="",I689=""),"",IFERROR(DATEDIF(O689,I689,"m")/12,""))</x:f>
      </x:c>
      <x:c r="Q689" s="60"/>
      <x:c r="R689" s="61"/>
      <x:c r="S689" s="64" t="str">
        <x:f>IF(OR(R689="",X689=""),"",IFERROR(DATEDIF(R689,X689,"m")/12,""))</x:f>
      </x:c>
      <x:c r="T689" s="60" t="str">
        <x:v>TRAINEE SOLICITOR</x:v>
      </x:c>
      <x:c r="U689" s="60" t="str">
        <x:v>CHILD&amp;CHILD</x:v>
      </x:c>
      <x:c r="V689" s="60" t="str">
        <x:v>21 GROSVENOR PLACE, LINDON, SW1X 7HN</x:v>
      </x:c>
      <x:c r="W689" s="63" t="str">
        <x:v>0207 235 8000</x:v>
      </x:c>
      <x:c r="X689" s="65" t="n">
        <x:f>TODAY()</x:f>
        <x:v>46250</x:v>
      </x:c>
    </x:row>
    <x:row r="690">
      <x:c r="A690" s="59" t="str">
        <x:v>STEPHENS</x:v>
      </x:c>
      <x:c r="B690" s="60" t="str">
        <x:v>JOHN</x:v>
      </x:c>
      <x:c r="C690" s="60"/>
      <x:c r="D690" s="61"/>
      <x:c r="E690" s="62" t="str">
        <x:f>IF(OR(D690="",X690=""),"",IFERROR(DATEDIF(D690,X690,"y"),""))</x:f>
      </x:c>
      <x:c r="F690" s="60"/>
      <x:c r="G690" s="63"/>
      <x:c r="H690" s="63"/>
      <x:c r="I690" s="61"/>
      <x:c r="J690" s="64" t="str">
        <x:f>IF(OR(I690="",X690=""),"",IFERROR(DATEDIF(I690,X690,"m")/12,""))</x:f>
      </x:c>
      <x:c r="K690" s="60" t="str">
        <x:v>FLAT 2, 11 TAVISTOCK PLACE, LONODN, WC1H 9SH</x:v>
      </x:c>
      <x:c r="L690" s="60"/>
      <x:c r="M690" s="60"/>
      <x:c r="N690" s="60"/>
      <x:c r="O690" s="61"/>
      <x:c r="P690" s="64" t="str">
        <x:f>IF(OR(O690="",I690=""),"",IFERROR(DATEDIF(O690,I690,"m")/12,""))</x:f>
      </x:c>
      <x:c r="Q690" s="60"/>
      <x:c r="R690" s="61"/>
      <x:c r="S690" s="64" t="str">
        <x:f>IF(OR(R690="",X690=""),"",IFERROR(DATEDIF(R690,X690,"m")/12,""))</x:f>
      </x:c>
      <x:c r="T690" s="60"/>
      <x:c r="U690" s="60"/>
      <x:c r="V690" s="60"/>
      <x:c r="W690" s="63"/>
      <x:c r="X690" s="65" t="n">
        <x:f>TODAY()</x:f>
        <x:v>46250</x:v>
      </x:c>
    </x:row>
    <x:row r="691">
      <x:c r="A691" s="59" t="str">
        <x:v>STERGOU</x:v>
      </x:c>
      <x:c r="B691" s="60" t="str">
        <x:v>OURANIA</x:v>
      </x:c>
      <x:c r="C691" s="60"/>
      <x:c r="D691" s="61" t="n">
        <x:v>31897.5</x:v>
      </x:c>
      <x:c r="E691" s="62" t="n">
        <x:f>IF(OR(D691="",X691=""),"",IFERROR(DATEDIF(D691,X691,"y"),""))</x:f>
        <x:v>39</x:v>
      </x:c>
      <x:c r="F691" s="60"/>
      <x:c r="G691" s="63"/>
      <x:c r="H691" s="63"/>
      <x:c r="I691" s="61"/>
      <x:c r="J691" s="64" t="str">
        <x:f>IF(OR(I691="",X691=""),"",IFERROR(DATEDIF(I691,X691,"m")/12,""))</x:f>
      </x:c>
      <x:c r="K691" s="60" t="str">
        <x:v>92 WESTBOURNE TERRACE, LONDON, W2 6WE</x:v>
      </x:c>
      <x:c r="L691" s="60" t="str">
        <x:v> W2 6WE</x:v>
      </x:c>
      <x:c r="M691" s="60"/>
      <x:c r="N691" s="60" t="str">
        <x:v>W2 6WE</x:v>
      </x:c>
      <x:c r="O691" s="61"/>
      <x:c r="P691" s="64" t="str">
        <x:f>IF(OR(O691="",I691=""),"",IFERROR(DATEDIF(O691,I691,"m")/12,""))</x:f>
      </x:c>
      <x:c r="Q691" s="60"/>
      <x:c r="R691" s="61"/>
      <x:c r="S691" s="64" t="str">
        <x:f>IF(OR(R691="",X691=""),"",IFERROR(DATEDIF(R691,X691,"m")/12,""))</x:f>
      </x:c>
      <x:c r="T691" s="60" t="str">
        <x:v>HEAD VETERINARY SURGEON</x:v>
      </x:c>
      <x:c r="U691" s="60" t="str">
        <x:v>LINNAEUS VETERINARY LIMITED</x:v>
      </x:c>
      <x:c r="V691" s="60" t="str">
        <x:v>FRIARS GATE, 1011 STRATFORD ROAD, SOLIHULL, WEST MIDLANDS, B90 4BN</x:v>
      </x:c>
      <x:c r="W691" s="63"/>
      <x:c r="X691" s="65" t="n">
        <x:f>TODAY()</x:f>
        <x:v>46250</x:v>
      </x:c>
    </x:row>
    <x:row r="692">
      <x:c r="A692" s="59" t="str">
        <x:v>STOEBE</x:v>
      </x:c>
      <x:c r="B692" s="60" t="str">
        <x:v>KONRAD</x:v>
      </x:c>
      <x:c r="C692" s="60"/>
      <x:c r="D692" s="61" t="n">
        <x:v>27803.5</x:v>
      </x:c>
      <x:c r="E692" s="62" t="n">
        <x:f>IF(OR(D692="",X692=""),"",IFERROR(DATEDIF(D692,X692,"y"),""))</x:f>
        <x:v>50</x:v>
      </x:c>
      <x:c r="F692" s="60" t="str">
        <x:v>MORGAN</x:v>
      </x:c>
      <x:c r="G692" s="63" t="str">
        <x:v>07572955097</x:v>
      </x:c>
      <x:c r="H692" s="63"/>
      <x:c r="I692" s="61"/>
      <x:c r="J692" s="64" t="str">
        <x:f>IF(OR(I692="",X692=""),"",IFERROR(DATEDIF(I692,X692,"m")/12,""))</x:f>
      </x:c>
      <x:c r="K692" s="60" t="str">
        <x:v>FLAT 3, 19 CLEVELAND SQUARE, LONDON, W2 6DG</x:v>
      </x:c>
      <x:c r="L692" s="60" t="str">
        <x:v> W2 6DG</x:v>
      </x:c>
      <x:c r="M692" s="60"/>
      <x:c r="N692" s="60" t="str">
        <x:v>W2 6DG</x:v>
      </x:c>
      <x:c r="O692" s="61"/>
      <x:c r="P692" s="64" t="str">
        <x:f>IF(OR(O692="",I692=""),"",IFERROR(DATEDIF(O692,I692,"m")/12,""))</x:f>
      </x:c>
      <x:c r="Q692" s="60"/>
      <x:c r="R692" s="61"/>
      <x:c r="S692" s="64" t="str">
        <x:f>IF(OR(R692="",X692=""),"",IFERROR(DATEDIF(R692,X692,"m")/12,""))</x:f>
      </x:c>
      <x:c r="T692" s="60"/>
      <x:c r="U692" s="60"/>
      <x:c r="V692" s="60"/>
      <x:c r="W692" s="63"/>
      <x:c r="X692" s="65" t="n">
        <x:f>TODAY()</x:f>
        <x:v>46250</x:v>
      </x:c>
    </x:row>
    <x:row r="693">
      <x:c r="A693" s="59" t="str">
        <x:v>SUCCAR</x:v>
      </x:c>
      <x:c r="B693" s="60" t="str">
        <x:v>ADONIS</x:v>
      </x:c>
      <x:c r="C693" s="60" t="str">
        <x:v>A</x:v>
      </x:c>
      <x:c r="D693" s="61"/>
      <x:c r="E693" s="62" t="str">
        <x:f>IF(OR(D693="",X693=""),"",IFERROR(DATEDIF(D693,X693,"y"),""))</x:f>
      </x:c>
      <x:c r="F693" s="60"/>
      <x:c r="G693" s="63"/>
      <x:c r="H693" s="63"/>
      <x:c r="I693" s="61"/>
      <x:c r="J693" s="64" t="str">
        <x:f>IF(OR(I693="",X693=""),"",IFERROR(DATEDIF(I693,X693,"m")/12,""))</x:f>
      </x:c>
      <x:c r="K693" s="60" t="str">
        <x:v>FLAT 4 , 7 GREEK STREET, LONDON, W1D 4DF</x:v>
      </x:c>
      <x:c r="L693" s="60" t="str">
        <x:v> W1D 4DF</x:v>
      </x:c>
      <x:c r="M693" s="60"/>
      <x:c r="N693" s="60" t="str">
        <x:v>W1D 4DF</x:v>
      </x:c>
      <x:c r="O693" s="61"/>
      <x:c r="P693" s="64" t="str">
        <x:f>IF(OR(O693="",I693=""),"",IFERROR(DATEDIF(O693,I693,"m")/12,""))</x:f>
      </x:c>
      <x:c r="Q693" s="60"/>
      <x:c r="R693" s="61"/>
      <x:c r="S693" s="64" t="str">
        <x:f>IF(OR(R693="",X693=""),"",IFERROR(DATEDIF(R693,X693,"m")/12,""))</x:f>
      </x:c>
      <x:c r="T693" s="60"/>
      <x:c r="U693" s="60" t="str">
        <x:v>THE BLACKSTONE GROUP INT. PARTNERS LLP</x:v>
      </x:c>
      <x:c r="V693" s="60"/>
      <x:c r="W693" s="63"/>
      <x:c r="X693" s="65" t="n">
        <x:f>TODAY()</x:f>
        <x:v>46250</x:v>
      </x:c>
    </x:row>
    <x:row r="694">
      <x:c r="A694" s="59" t="str">
        <x:v>SUDLOW</x:v>
      </x:c>
      <x:c r="B694" s="60" t="str">
        <x:v>JEREMY</x:v>
      </x:c>
      <x:c r="C694" s="60" t="str">
        <x:v>GUY</x:v>
      </x:c>
      <x:c r="D694" s="61" t="n">
        <x:v>31489.5</x:v>
      </x:c>
      <x:c r="E694" s="62" t="n">
        <x:f>IF(OR(D694="",X694=""),"",IFERROR(DATEDIF(D694,X694,"y"),""))</x:f>
        <x:v>40</x:v>
      </x:c>
      <x:c r="F694" s="60" t="str">
        <x:v>LEWIS</x:v>
      </x:c>
      <x:c r="G694" s="63"/>
      <x:c r="H694" s="63"/>
      <x:c r="I694" s="61" t="n">
        <x:v>43525.5</x:v>
      </x:c>
      <x:c r="J694" s="64" t="n">
        <x:f>IF(OR(I694="",X694=""),"",IFERROR(DATEDIF(I694,X694,"m")/12,""))</x:f>
        <x:v>7.416666666666667</x:v>
      </x:c>
      <x:c r="K694" s="60"/>
      <x:c r="L694" s="60"/>
      <x:c r="M694" s="60"/>
      <x:c r="N694" s="60"/>
      <x:c r="O694" s="61"/>
      <x:c r="P694" s="64" t="str">
        <x:f>IF(OR(O694="",I694=""),"",IFERROR(DATEDIF(O694,I694,"m")/12,""))</x:f>
      </x:c>
      <x:c r="Q694" s="60" t="str">
        <x:v>8 WATERLOO HOUSE, HYDE PARK BARRACLKS, KNIGHTS BRIDGE, LONDON, SW7 ISE</x:v>
      </x:c>
      <x:c r="R694" s="61" t="n">
        <x:v>42979.5</x:v>
      </x:c>
      <x:c r="S694" s="64" t="n">
        <x:f>IF(OR(R694="",X694=""),"",IFERROR(DATEDIF(R694,X694,"m")/12,""))</x:f>
        <x:v>8.916666666666666</x:v>
      </x:c>
      <x:c r="T694" s="60" t="str">
        <x:v>OFFICER COMMANDING</x:v>
      </x:c>
      <x:c r="U694" s="60" t="str">
        <x:v>HOUSEHOLD CAVALARY MOUNTED REGIMENT</x:v>
      </x:c>
      <x:c r="V694" s="60" t="str">
        <x:v>HYDE PARK BARRACKS, 20A KNIHGHTSBRIDGE, LONDON, SW7 1SE</x:v>
      </x:c>
      <x:c r="W694" s="63"/>
      <x:c r="X694" s="65" t="n">
        <x:f>TODAY()</x:f>
        <x:v>46250</x:v>
      </x:c>
    </x:row>
    <x:row r="695">
      <x:c r="A695" s="59" t="str">
        <x:v>SUTTON</x:v>
      </x:c>
      <x:c r="B695" s="60" t="str">
        <x:v>GREGORY</x:v>
      </x:c>
      <x:c r="C695" s="60" t="str">
        <x:v>PAUL</x:v>
      </x:c>
      <x:c r="D695" s="61" t="n">
        <x:v>34055.5</x:v>
      </x:c>
      <x:c r="E695" s="62" t="n">
        <x:f>IF(OR(D695="",X695=""),"",IFERROR(DATEDIF(D695,X695,"y"),""))</x:f>
        <x:v>33</x:v>
      </x:c>
      <x:c r="F695" s="60"/>
      <x:c r="G695" s="63"/>
      <x:c r="H695" s="63"/>
      <x:c r="I695" s="61" t="n">
        <x:v>43497.5</x:v>
      </x:c>
      <x:c r="J695" s="64" t="n">
        <x:f>IF(OR(I695="",X695=""),"",IFERROR(DATEDIF(I695,X695,"m")/12,""))</x:f>
        <x:v>7.5</x:v>
      </x:c>
      <x:c r="K695" s="60" t="str">
        <x:v>4 COMYN ROAD, LONDON, SW11 1QD</x:v>
      </x:c>
      <x:c r="L695" s="60" t="str">
        <x:v> SW11 1QD</x:v>
      </x:c>
      <x:c r="M695" s="60"/>
      <x:c r="N695" s="60" t="str">
        <x:v>SW11 1QD</x:v>
      </x:c>
      <x:c r="O695" s="61"/>
      <x:c r="P695" s="64" t="str">
        <x:f>IF(OR(O695="",I695=""),"",IFERROR(DATEDIF(O695,I695,"m")/12,""))</x:f>
      </x:c>
      <x:c r="Q695" s="60"/>
      <x:c r="R695" s="61" t="n">
        <x:v>42186.5</x:v>
      </x:c>
      <x:c r="S695" s="64" t="n">
        <x:f>IF(OR(R695="",X695=""),"",IFERROR(DATEDIF(R695,X695,"m")/12,""))</x:f>
        <x:v>11.083333333333334</x:v>
      </x:c>
      <x:c r="T695" s="60" t="str">
        <x:v>PRODUCT MANAGER</x:v>
      </x:c>
      <x:c r="U695" s="60" t="str">
        <x:v>AIG</x:v>
      </x:c>
      <x:c r="V695" s="60" t="str">
        <x:v>58 FENCHURCH STREET, THE AIG BUILDING, LONDON EC3M 4AB</x:v>
      </x:c>
      <x:c r="W695" s="63" t="str">
        <x:v>0345 600 6820</x:v>
      </x:c>
      <x:c r="X695" s="65" t="n">
        <x:f>TODAY()</x:f>
        <x:v>46250</x:v>
      </x:c>
    </x:row>
    <x:row r="696">
      <x:c r="A696" s="59" t="str">
        <x:v>SUUTARI JAASKO</x:v>
      </x:c>
      <x:c r="B696" s="60" t="str">
        <x:v>SIRPA</x:v>
      </x:c>
      <x:c r="C696" s="60"/>
      <x:c r="D696" s="61" t="n">
        <x:v>24227.5</x:v>
      </x:c>
      <x:c r="E696" s="62" t="n">
        <x:f>IF(OR(D696="",X696=""),"",IFERROR(DATEDIF(D696,X696,"y"),""))</x:f>
        <x:v>60</x:v>
      </x:c>
      <x:c r="F696" s="60"/>
      <x:c r="G696" s="63"/>
      <x:c r="H696" s="63"/>
      <x:c r="I696" s="61" t="n">
        <x:v>41760.5</x:v>
      </x:c>
      <x:c r="J696" s="64" t="n">
        <x:f>IF(OR(I696="",X696=""),"",IFERROR(DATEDIF(I696,X696,"m")/12,""))</x:f>
        <x:v>12.25</x:v>
      </x:c>
      <x:c r="K696" s="60" t="str">
        <x:v>FLAT 18, 31 NVERNESS TERRACE, LONDON, W2 3JR</x:v>
      </x:c>
      <x:c r="L696" s="60" t="str">
        <x:v> W2 3JR</x:v>
      </x:c>
      <x:c r="M696" s="60"/>
      <x:c r="N696" s="60" t="str">
        <x:v>W2 3JR</x:v>
      </x:c>
      <x:c r="O696" s="61" t="n">
        <x:v>40725.5</x:v>
      </x:c>
      <x:c r="P696" s="64" t="n">
        <x:f>IF(OR(O696="",I696=""),"",IFERROR(DATEDIF(O696,I696,"m")/12,""))</x:f>
        <x:v>2.8333333333333335</x:v>
      </x:c>
      <x:c r="Q696" s="60" t="str">
        <x:v>FLAT 4, 31 INVERNESS TERRACE, LONDON, W2 3JR</x:v>
      </x:c>
      <x:c r="R696" s="61"/>
      <x:c r="S696" s="64" t="str">
        <x:f>IF(OR(R696="",X696=""),"",IFERROR(DATEDIF(R696,X696,"m")/12,""))</x:f>
      </x:c>
      <x:c r="T696" s="60"/>
      <x:c r="U696" s="60"/>
      <x:c r="V696" s="60"/>
      <x:c r="W696" s="63"/>
      <x:c r="X696" s="65" t="n">
        <x:f>TODAY()</x:f>
        <x:v>46250</x:v>
      </x:c>
    </x:row>
    <x:row r="697">
      <x:c r="A697" s="59" t="str">
        <x:v>SUZUKI</x:v>
      </x:c>
      <x:c r="B697" s="60" t="str">
        <x:v>YASUKO</x:v>
      </x:c>
      <x:c r="C697" s="60"/>
      <x:c r="D697" s="61" t="n">
        <x:v>24725.5</x:v>
      </x:c>
      <x:c r="E697" s="62" t="n">
        <x:f>IF(OR(D697="",X697=""),"",IFERROR(DATEDIF(D697,X697,"y"),""))</x:f>
        <x:v>58</x:v>
      </x:c>
      <x:c r="F697" s="60"/>
      <x:c r="G697" s="63" t="str">
        <x:v>‭07783 615102‬</x:v>
      </x:c>
      <x:c r="H697" s="63"/>
      <x:c r="I697" s="61"/>
      <x:c r="J697" s="64" t="str">
        <x:f>IF(OR(I697="",X697=""),"",IFERROR(DATEDIF(I697,X697,"m")/12,""))</x:f>
      </x:c>
      <x:c r="K697" s="60"/>
      <x:c r="L697" s="60"/>
      <x:c r="M697" s="60"/>
      <x:c r="N697" s="60"/>
      <x:c r="O697" s="61"/>
      <x:c r="P697" s="64" t="str">
        <x:f>IF(OR(O697="",I697=""),"",IFERROR(DATEDIF(O697,I697,"m")/12,""))</x:f>
      </x:c>
      <x:c r="Q697" s="60"/>
      <x:c r="R697" s="61"/>
      <x:c r="S697" s="64" t="str">
        <x:f>IF(OR(R697="",X697=""),"",IFERROR(DATEDIF(R697,X697,"m")/12,""))</x:f>
      </x:c>
      <x:c r="T697" s="60"/>
      <x:c r="U697" s="60"/>
      <x:c r="V697" s="60"/>
      <x:c r="W697" s="63"/>
      <x:c r="X697" s="65" t="n">
        <x:f>TODAY()</x:f>
        <x:v>46250</x:v>
      </x:c>
    </x:row>
    <x:row r="698">
      <x:c r="A698" s="59" t="str">
        <x:v>SWIFT</x:v>
      </x:c>
      <x:c r="B698" s="60" t="str">
        <x:v>MARK</x:v>
      </x:c>
      <x:c r="C698" s="60" t="str">
        <x:v>PAIUL</x:v>
      </x:c>
      <x:c r="D698" s="61" t="n">
        <x:v>25477.5</x:v>
      </x:c>
      <x:c r="E698" s="62" t="n">
        <x:f>IF(OR(D698="",X698=""),"",IFERROR(DATEDIF(D698,X698,"y"),""))</x:f>
        <x:v>56</x:v>
      </x:c>
      <x:c r="F698" s="60" t="str">
        <x:v>CUSSON</x:v>
      </x:c>
      <x:c r="G698" s="63"/>
      <x:c r="H698" s="63"/>
      <x:c r="I698" s="61"/>
      <x:c r="J698" s="64" t="str">
        <x:f>IF(OR(I698="",X698=""),"",IFERROR(DATEDIF(I698,X698,"m")/12,""))</x:f>
      </x:c>
      <x:c r="K698" s="60" t="str">
        <x:v>FLAT 5, 163 CROMWELL ROAD, LONDON, SW5 0SQ</x:v>
      </x:c>
      <x:c r="L698" s="60" t="str">
        <x:v> SW5 0SQ</x:v>
      </x:c>
      <x:c r="M698" s="60"/>
      <x:c r="N698" s="60" t="str">
        <x:v>SW5 0SQ</x:v>
      </x:c>
      <x:c r="O698" s="61"/>
      <x:c r="P698" s="64" t="str">
        <x:f>IF(OR(O698="",I698=""),"",IFERROR(DATEDIF(O698,I698,"m")/12,""))</x:f>
      </x:c>
      <x:c r="Q698" s="60"/>
      <x:c r="R698" s="61"/>
      <x:c r="S698" s="64" t="str">
        <x:f>IF(OR(R698="",X698=""),"",IFERROR(DATEDIF(R698,X698,"m")/12,""))</x:f>
      </x:c>
      <x:c r="T698" s="60"/>
      <x:c r="U698" s="60"/>
      <x:c r="V698" s="60"/>
      <x:c r="W698" s="63"/>
      <x:c r="X698" s="65" t="n">
        <x:f>TODAY()</x:f>
        <x:v>46250</x:v>
      </x:c>
    </x:row>
    <x:row r="699">
      <x:c r="A699" s="59" t="str">
        <x:v>SYKES</x:v>
      </x:c>
      <x:c r="B699" s="60" t="str">
        <x:v>BENJAMIN</x:v>
      </x:c>
      <x:c r="C699" s="60"/>
      <x:c r="D699" s="61" t="n">
        <x:v>29401.5</x:v>
      </x:c>
      <x:c r="E699" s="62" t="n">
        <x:f>IF(OR(D699="",X699=""),"",IFERROR(DATEDIF(D699,X699,"y"),""))</x:f>
        <x:v>46</x:v>
      </x:c>
      <x:c r="F699" s="60"/>
      <x:c r="G699" s="63"/>
      <x:c r="H699" s="63" t="str">
        <x:v>SZ641014C</x:v>
      </x:c>
      <x:c r="I699" s="61"/>
      <x:c r="J699" s="64" t="str">
        <x:f>IF(OR(I699="",X699=""),"",IFERROR(DATEDIF(I699,X699,"m")/12,""))</x:f>
      </x:c>
      <x:c r="K699" s="60" t="str">
        <x:v>151 DAWES ROAD, LONDON, SW6 7EE</x:v>
      </x:c>
      <x:c r="L699" s="60" t="str">
        <x:v> SW6 7EE</x:v>
      </x:c>
      <x:c r="M699" s="60"/>
      <x:c r="N699" s="60" t="str">
        <x:v>SW6 7EE</x:v>
      </x:c>
      <x:c r="O699" s="61"/>
      <x:c r="P699" s="64" t="str">
        <x:f>IF(OR(O699="",I699=""),"",IFERROR(DATEDIF(O699,I699,"m")/12,""))</x:f>
      </x:c>
      <x:c r="Q699" s="60"/>
      <x:c r="R699" s="61"/>
      <x:c r="S699" s="64" t="str">
        <x:f>IF(OR(R699="",X699=""),"",IFERROR(DATEDIF(R699,X699,"m")/12,""))</x:f>
      </x:c>
      <x:c r="T699" s="60"/>
      <x:c r="U699" s="60"/>
      <x:c r="V699" s="60"/>
      <x:c r="W699" s="63"/>
      <x:c r="X699" s="65" t="n">
        <x:f>TODAY()</x:f>
        <x:v>46250</x:v>
      </x:c>
    </x:row>
    <x:row r="700">
      <x:c r="A700" s="59" t="str">
        <x:v>SYMONS</x:v>
      </x:c>
      <x:c r="B700" s="60" t="str">
        <x:v>TRISTAN</x:v>
      </x:c>
      <x:c r="C700" s="60" t="str">
        <x:v>CHARLES</x:v>
      </x:c>
      <x:c r="D700" s="61" t="n">
        <x:v>34957.5</x:v>
      </x:c>
      <x:c r="E700" s="62" t="n">
        <x:f>IF(OR(D700="",X700=""),"",IFERROR(DATEDIF(D700,X700,"y"),""))</x:f>
        <x:v>30</x:v>
      </x:c>
      <x:c r="F700" s="60" t="str">
        <x:v>FRAY</x:v>
      </x:c>
      <x:c r="G700" s="63" t="str">
        <x:v>07741974820</x:v>
      </x:c>
      <x:c r="H700" s="63"/>
      <x:c r="I700" s="61"/>
      <x:c r="J700" s="64" t="str">
        <x:f>IF(OR(I700="",X700=""),"",IFERROR(DATEDIF(I700,X700,"m")/12,""))</x:f>
      </x:c>
      <x:c r="K700" s="60" t="str">
        <x:v>FLAT 2, 6 WINDMILL DRIVE, LONDON, SW49DE</x:v>
      </x:c>
      <x:c r="L700" s="60" t="str">
        <x:v> SW49DE</x:v>
      </x:c>
      <x:c r="M700" s="60"/>
      <x:c r="N700" s="60" t="str">
        <x:v>SW49DE</x:v>
      </x:c>
      <x:c r="O700" s="61"/>
      <x:c r="P700" s="64" t="str">
        <x:f>IF(OR(O700="",I700=""),"",IFERROR(DATEDIF(O700,I700,"m")/12,""))</x:f>
      </x:c>
      <x:c r="Q700" s="60"/>
      <x:c r="R700" s="61" t="n">
        <x:v>44136.5</x:v>
      </x:c>
      <x:c r="S700" s="64" t="n">
        <x:f>IF(OR(R700="",X700=""),"",IFERROR(DATEDIF(R700,X700,"m")/12,""))</x:f>
        <x:v>5.75</x:v>
      </x:c>
      <x:c r="T700" s="60" t="str">
        <x:v>ANALYST</x:v>
      </x:c>
      <x:c r="U700" s="60" t="str">
        <x:v>PANTHEON VENTURES</x:v>
      </x:c>
      <x:c r="V700" s="60" t="str">
        <x:v>10 FINSBURY SQUARE, LONDON EC2A 1AF</x:v>
      </x:c>
      <x:c r="W700" s="63" t="str">
        <x:v>020333561800</x:v>
      </x:c>
      <x:c r="X700" s="65" t="n">
        <x:f>TODAY()</x:f>
        <x:v>46250</x:v>
      </x:c>
    </x:row>
    <x:row r="701">
      <x:c r="A701" s="59" t="str">
        <x:v>SZERENCSI</x:v>
      </x:c>
      <x:c r="B701" s="60" t="str">
        <x:v>ANITA</x:v>
      </x:c>
      <x:c r="C701" s="60"/>
      <x:c r="D701" s="61" t="n">
        <x:v>29361.5</x:v>
      </x:c>
      <x:c r="E701" s="62" t="n">
        <x:f>IF(OR(D701="",X701=""),"",IFERROR(DATEDIF(D701,X701,"y"),""))</x:f>
        <x:v>46</x:v>
      </x:c>
      <x:c r="F701" s="60"/>
      <x:c r="G701" s="63"/>
      <x:c r="H701" s="63"/>
      <x:c r="I701" s="61"/>
      <x:c r="J701" s="64" t="str">
        <x:f>IF(OR(I701="",X701=""),"",IFERROR(DATEDIF(I701,X701,"m")/12,""))</x:f>
      </x:c>
      <x:c r="K701" s="60" t="str">
        <x:v>FLAT 67,55 CLEVELAND SQUARE,LONDON,W2 6DB</x:v>
      </x:c>
      <x:c r="L701" s="60" t="str">
        <x:v>W2 6DB</x:v>
      </x:c>
      <x:c r="M701" s="60"/>
      <x:c r="N701" s="60" t="str">
        <x:v>W2 6DB</x:v>
      </x:c>
      <x:c r="O701" s="61"/>
      <x:c r="P701" s="64" t="str">
        <x:f>IF(OR(O701="",I701=""),"",IFERROR(DATEDIF(O701,I701,"m")/12,""))</x:f>
      </x:c>
      <x:c r="Q701" s="60"/>
      <x:c r="R701" s="61"/>
      <x:c r="S701" s="64" t="str">
        <x:f>IF(OR(R701="",X701=""),"",IFERROR(DATEDIF(R701,X701,"m")/12,""))</x:f>
      </x:c>
      <x:c r="T701" s="60"/>
      <x:c r="U701" s="60"/>
      <x:c r="V701" s="60"/>
      <x:c r="W701" s="63"/>
      <x:c r="X701" s="65" t="n">
        <x:f>TODAY()</x:f>
        <x:v>46250</x:v>
      </x:c>
    </x:row>
    <x:row r="702">
      <x:c r="A702" s="59" t="str">
        <x:v>T</x:v>
      </x:c>
      <x:c r="B702" s="60"/>
      <x:c r="C702" s="60"/>
      <x:c r="D702" s="61"/>
      <x:c r="E702" s="62" t="str">
        <x:f>IF(OR(D702="",X702=""),"",IFERROR(DATEDIF(D702,X702,"y"),""))</x:f>
      </x:c>
      <x:c r="F702" s="60"/>
      <x:c r="G702" s="63"/>
      <x:c r="H702" s="63"/>
      <x:c r="I702" s="61"/>
      <x:c r="J702" s="64" t="str">
        <x:f>IF(OR(I702="",X702=""),"",IFERROR(DATEDIF(I702,X702,"m")/12,""))</x:f>
      </x:c>
      <x:c r="K702" s="60"/>
      <x:c r="L702" s="60"/>
      <x:c r="M702" s="60"/>
      <x:c r="N702" s="60"/>
      <x:c r="O702" s="61"/>
      <x:c r="P702" s="64" t="str">
        <x:f>IF(OR(O702="",I702=""),"",IFERROR(DATEDIF(O702,I702,"m")/12,""))</x:f>
      </x:c>
      <x:c r="Q702" s="60"/>
      <x:c r="R702" s="61"/>
      <x:c r="S702" s="64" t="str">
        <x:f>IF(OR(R702="",X702=""),"",IFERROR(DATEDIF(R702,X702,"m")/12,""))</x:f>
      </x:c>
      <x:c r="T702" s="60"/>
      <x:c r="U702" s="60"/>
      <x:c r="V702" s="60"/>
      <x:c r="W702" s="63"/>
      <x:c r="X702" s="65" t="n">
        <x:f>TODAY()</x:f>
        <x:v>46250</x:v>
      </x:c>
    </x:row>
    <x:row r="703">
      <x:c r="A703" s="59" t="str">
        <x:v>TAGHIPOUR</x:v>
      </x:c>
      <x:c r="B703" s="60" t="str">
        <x:v>KATAYOUN</x:v>
      </x:c>
      <x:c r="C703" s="60"/>
      <x:c r="D703" s="61" t="n">
        <x:v>24816.5</x:v>
      </x:c>
      <x:c r="E703" s="62" t="n">
        <x:f>IF(OR(D703="",X703=""),"",IFERROR(DATEDIF(D703,X703,"y"),""))</x:f>
        <x:v>58</x:v>
      </x:c>
      <x:c r="F703" s="60" t="str">
        <x:v>TAGHIPOUR</x:v>
      </x:c>
      <x:c r="G703" s="63" t="str">
        <x:v>07780342625</x:v>
      </x:c>
      <x:c r="H703" s="63"/>
      <x:c r="I703" s="61" t="n">
        <x:v>38261.5</x:v>
      </x:c>
      <x:c r="J703" s="64" t="n">
        <x:f>IF(OR(I703="",X703=""),"",IFERROR(DATEDIF(I703,X703,"m")/12,""))</x:f>
        <x:v>21.833333333333332</x:v>
      </x:c>
      <x:c r="K703" s="60" t="str">
        <x:v>FLAT 3, 84 FINBOROUGH ROAD, LONODN, SW10 9ED</x:v>
      </x:c>
      <x:c r="L703" s="60"/>
      <x:c r="M703" s="60"/>
      <x:c r="N703" s="60"/>
      <x:c r="O703" s="61"/>
      <x:c r="P703" s="64" t="str">
        <x:f>IF(OR(O703="",I703=""),"",IFERROR(DATEDIF(O703,I703,"m")/12,""))</x:f>
      </x:c>
      <x:c r="Q703" s="60"/>
      <x:c r="R703" s="61" t="n">
        <x:v>42583.5</x:v>
      </x:c>
      <x:c r="S703" s="64" t="n">
        <x:f>IF(OR(R703="",X703=""),"",IFERROR(DATEDIF(R703,X703,"m")/12,""))</x:f>
        <x:v>10</x:v>
      </x:c>
      <x:c r="T703" s="60" t="str">
        <x:v>CONSULTANT DERMATOLOGIST</x:v>
      </x:c>
      <x:c r="U703" s="60" t="str">
        <x:v>DERMCONSULT DERMATOLOGY CLINIC</x:v>
      </x:c>
      <x:c r="V703" s="60" t="str">
        <x:v>55 HARLEY STREET, W1G 8QR</x:v>
      </x:c>
      <x:c r="W703" s="63" t="str">
        <x:v>020 3303 0138</x:v>
      </x:c>
      <x:c r="X703" s="65" t="n">
        <x:f>TODAY()</x:f>
        <x:v>46250</x:v>
      </x:c>
    </x:row>
    <x:row r="704">
      <x:c r="A704" s="59" t="str">
        <x:v>TANNER</x:v>
      </x:c>
      <x:c r="B704" s="60" t="str">
        <x:v>BRIAN</x:v>
      </x:c>
      <x:c r="C704" s="60" t="str">
        <x:v>PETER</x:v>
      </x:c>
      <x:c r="D704" s="61" t="n">
        <x:v>25398.5</x:v>
      </x:c>
      <x:c r="E704" s="62" t="n">
        <x:f>IF(OR(D704="",X704=""),"",IFERROR(DATEDIF(D704,X704,"y"),""))</x:f>
        <x:v>57</x:v>
      </x:c>
      <x:c r="F704" s="60" t="str">
        <x:v>MAIA</x:v>
      </x:c>
      <x:c r="G704" s="63" t="str">
        <x:v>07507938543</x:v>
      </x:c>
      <x:c r="H704" s="63"/>
      <x:c r="I704" s="61"/>
      <x:c r="J704" s="64" t="str">
        <x:f>IF(OR(I704="",X704=""),"",IFERROR(DATEDIF(I704,X704,"m")/12,""))</x:f>
      </x:c>
      <x:c r="K704" s="60" t="str">
        <x:v>FLAT 2, 284-286FULHAM ROAD, LONDON, SW10 9EW</x:v>
      </x:c>
      <x:c r="L704" s="60" t="str">
        <x:v> SW10 9EW</x:v>
      </x:c>
      <x:c r="M704" s="60"/>
      <x:c r="N704" s="60" t="str">
        <x:v>SW10 9EW</x:v>
      </x:c>
      <x:c r="O704" s="61"/>
      <x:c r="P704" s="64" t="str">
        <x:f>IF(OR(O704="",I704=""),"",IFERROR(DATEDIF(O704,I704,"m")/12,""))</x:f>
      </x:c>
      <x:c r="Q704" s="60"/>
      <x:c r="R704" s="61" t="n">
        <x:v>41640.5</x:v>
      </x:c>
      <x:c r="S704" s="64" t="n">
        <x:f>IF(OR(R704="",X704=""),"",IFERROR(DATEDIF(R704,X704,"m")/12,""))</x:f>
        <x:v>12.583333333333334</x:v>
      </x:c>
      <x:c r="T704" s="60" t="str">
        <x:v>COMPANY DIRECTOR</x:v>
      </x:c>
      <x:c r="U704" s="60" t="str">
        <x:v>6-8 CLANRICARDE GARDENS FREEHOLD LIMITED</x:v>
      </x:c>
      <x:c r="V704" s="60" t="str">
        <x:v>THE GRANARY, BREWER STREET, BLETCHINGLEY, SURREY, RH1 4QP</x:v>
      </x:c>
      <x:c r="W704" s="63"/>
      <x:c r="X704" s="65" t="n">
        <x:f>TODAY()</x:f>
        <x:v>46250</x:v>
      </x:c>
    </x:row>
    <x:row r="705">
      <x:c r="A705" s="59" t="str">
        <x:v>TAPIWA</x:v>
      </x:c>
      <x:c r="B705" s="60" t="str">
        <x:v>MANJENGWA</x:v>
      </x:c>
      <x:c r="C705" s="60"/>
      <x:c r="D705" s="61" t="n">
        <x:v>29839.5</x:v>
      </x:c>
      <x:c r="E705" s="62" t="n">
        <x:f>IF(OR(D705="",X705=""),"",IFERROR(DATEDIF(D705,X705,"y"),""))</x:f>
        <x:v>44</x:v>
      </x:c>
      <x:c r="F705" s="60"/>
      <x:c r="G705" s="63"/>
      <x:c r="H705" s="63"/>
      <x:c r="I705" s="61" t="n">
        <x:v>42217.5</x:v>
      </x:c>
      <x:c r="J705" s="64" t="n">
        <x:f>IF(OR(I705="",X705=""),"",IFERROR(DATEDIF(I705,X705,"m")/12,""))</x:f>
        <x:v>11</x:v>
      </x:c>
      <x:c r="K705" s="60" t="str">
        <x:v>FLAT 1, BILLING SPRING HOUSE, 529-531 FULHAM ROAD, LONDON, SW6 1HD</x:v>
      </x:c>
      <x:c r="L705" s="60" t="str">
        <x:v> SW6 1HD</x:v>
      </x:c>
      <x:c r="M705" s="60"/>
      <x:c r="N705" s="60" t="str">
        <x:v>SW6 1HD</x:v>
      </x:c>
      <x:c r="O705" s="61" t="n">
        <x:v>40360.5</x:v>
      </x:c>
      <x:c r="P705" s="64" t="n">
        <x:f>IF(OR(O705="",I705=""),"",IFERROR(DATEDIF(O705,I705,"m")/12,""))</x:f>
        <x:v>5.083333333333333</x:v>
      </x:c>
      <x:c r="Q705" s="60" t="str">
        <x:v>8B WYFOLD ROAD, FULHAM, LONDON, SW6 6SJ</x:v>
      </x:c>
      <x:c r="R705" s="61"/>
      <x:c r="S705" s="64" t="str">
        <x:f>IF(OR(R705="",X705=""),"",IFERROR(DATEDIF(R705,X705,"m")/12,""))</x:f>
      </x:c>
      <x:c r="T705" s="60"/>
      <x:c r="U705" s="60"/>
      <x:c r="V705" s="60"/>
      <x:c r="W705" s="63"/>
      <x:c r="X705" s="65" t="n">
        <x:f>TODAY()</x:f>
        <x:v>46250</x:v>
      </x:c>
    </x:row>
    <x:row r="706">
      <x:c r="A706" s="59" t="str">
        <x:v>TASKER</x:v>
      </x:c>
      <x:c r="B706" s="60" t="str">
        <x:v>SIMONE</x:v>
      </x:c>
      <x:c r="C706" s="60"/>
      <x:c r="D706" s="61" t="n">
        <x:v>30904.5</x:v>
      </x:c>
      <x:c r="E706" s="62" t="n">
        <x:f>IF(OR(D706="",X706=""),"",IFERROR(DATEDIF(D706,X706,"y"),""))</x:f>
        <x:v>42</x:v>
      </x:c>
      <x:c r="F706" s="60"/>
      <x:c r="G706" s="63"/>
      <x:c r="H706" s="63"/>
      <x:c r="I706" s="61" t="n">
        <x:v>42491.5</x:v>
      </x:c>
      <x:c r="J706" s="64" t="n">
        <x:f>IF(OR(I706="",X706=""),"",IFERROR(DATEDIF(I706,X706,"m")/12,""))</x:f>
        <x:v>10.25</x:v>
      </x:c>
      <x:c r="K706" s="60" t="str">
        <x:v>BASEMENT, 15A, ONGAR ROAD, LONDON, LONDON, SW6 1RL</x:v>
      </x:c>
      <x:c r="L706" s="60" t="str">
        <x:v> LONDON, SW6 1RL</x:v>
      </x:c>
      <x:c r="M706" s="60"/>
      <x:c r="N706" s="60" t="str">
        <x:v> SW6 1RL</x:v>
      </x:c>
      <x:c r="O706" s="61" t="n">
        <x:v>41030.5</x:v>
      </x:c>
      <x:c r="P706" s="64" t="n">
        <x:f>IF(OR(O706="",I706=""),"",IFERROR(DATEDIF(O706,I706,"m")/12,""))</x:f>
        <x:v>4</x:v>
      </x:c>
      <x:c r="Q706" s="60" t="str">
        <x:v>151, GUNNERSBURY LANE, LONDON, LONDON, W3 8HP</x:v>
      </x:c>
      <x:c r="R706" s="61"/>
      <x:c r="S706" s="64" t="str">
        <x:f>IF(OR(R706="",X706=""),"",IFERROR(DATEDIF(R706,X706,"m")/12,""))</x:f>
      </x:c>
      <x:c r="T706" s="60"/>
      <x:c r="U706" s="60"/>
      <x:c r="V706" s="60"/>
      <x:c r="W706" s="63"/>
      <x:c r="X706" s="65" t="n">
        <x:f>TODAY()</x:f>
        <x:v>46250</x:v>
      </x:c>
    </x:row>
    <x:row r="707">
      <x:c r="A707" s="59" t="str">
        <x:v>TASKER</x:v>
      </x:c>
      <x:c r="B707" s="60" t="str">
        <x:v>MICHAEL</x:v>
      </x:c>
      <x:c r="C707" s="60" t="str">
        <x:v>JAMES</x:v>
      </x:c>
      <x:c r="D707" s="61" t="n">
        <x:v>33526.5</x:v>
      </x:c>
      <x:c r="E707" s="62" t="n">
        <x:f>IF(OR(D707="",X707=""),"",IFERROR(DATEDIF(D707,X707,"y"),""))</x:f>
        <x:v>34</x:v>
      </x:c>
      <x:c r="F707" s="60" t="str">
        <x:v>HUTCHINSON</x:v>
      </x:c>
      <x:c r="G707" s="63"/>
      <x:c r="H707" s="63"/>
      <x:c r="I707" s="61" t="n">
        <x:v>43556.5</x:v>
      </x:c>
      <x:c r="J707" s="64" t="n">
        <x:f>IF(OR(I707="",X707=""),"",IFERROR(DATEDIF(I707,X707,"m")/12,""))</x:f>
        <x:v>7.333333333333333</x:v>
      </x:c>
      <x:c r="K707" s="60" t="str">
        <x:v>649A FULHAM ROAD,LONDON, SW6 5PU</x:v>
      </x:c>
      <x:c r="L707" s="60" t="str">
        <x:v> SW6 5PU</x:v>
      </x:c>
      <x:c r="M707" s="60"/>
      <x:c r="N707" s="60" t="str">
        <x:v>SW6 5PU</x:v>
      </x:c>
      <x:c r="O707" s="61" t="n">
        <x:v>37469.5</x:v>
      </x:c>
      <x:c r="P707" s="64" t="n">
        <x:f>IF(OR(O707="",I707=""),"",IFERROR(DATEDIF(O707,I707,"m")/12,""))</x:f>
        <x:v>16.666666666666668</x:v>
      </x:c>
      <x:c r="Q707" s="60"/>
      <x:c r="R707" s="61"/>
      <x:c r="S707" s="64" t="str">
        <x:f>IF(OR(R707="",X707=""),"",IFERROR(DATEDIF(R707,X707,"m")/12,""))</x:f>
      </x:c>
      <x:c r="T707" s="60"/>
      <x:c r="U707" s="60"/>
      <x:c r="V707" s="60"/>
      <x:c r="W707" s="63"/>
      <x:c r="X707" s="65" t="n">
        <x:f>TODAY()</x:f>
        <x:v>46250</x:v>
      </x:c>
    </x:row>
    <x:row r="708">
      <x:c r="A708" s="59" t="str">
        <x:v>TASSELLO</x:v>
      </x:c>
      <x:c r="B708" s="60" t="str">
        <x:v>FRANCESCO</x:v>
      </x:c>
      <x:c r="C708" s="60"/>
      <x:c r="D708" s="61" t="n">
        <x:v>35783.5</x:v>
      </x:c>
      <x:c r="E708" s="62" t="n">
        <x:f>IF(OR(D708="",X708=""),"",IFERROR(DATEDIF(D708,X708,"y"),""))</x:f>
        <x:v>28</x:v>
      </x:c>
      <x:c r="F708" s="60"/>
      <x:c r="G708" s="63"/>
      <x:c r="H708" s="63"/>
      <x:c r="I708" s="61"/>
      <x:c r="J708" s="64" t="str">
        <x:f>IF(OR(I708="",X708=""),"",IFERROR(DATEDIF(I708,X708,"m")/12,""))</x:f>
      </x:c>
      <x:c r="K708" s="60" t="str">
        <x:v>FLAT 8, 92 WESTBOURNE LONDON, W2 6QE</x:v>
      </x:c>
      <x:c r="L708" s="60" t="str">
        <x:v> W2 6QE</x:v>
      </x:c>
      <x:c r="M708" s="60"/>
      <x:c r="N708" s="60" t="str">
        <x:v>W2 6QE</x:v>
      </x:c>
      <x:c r="O708" s="61"/>
      <x:c r="P708" s="64" t="str">
        <x:f>IF(OR(O708="",I708=""),"",IFERROR(DATEDIF(O708,I708,"m")/12,""))</x:f>
      </x:c>
      <x:c r="Q708" s="60"/>
      <x:c r="R708" s="61"/>
      <x:c r="S708" s="64" t="str">
        <x:f>IF(OR(R708="",X708=""),"",IFERROR(DATEDIF(R708,X708,"m")/12,""))</x:f>
      </x:c>
      <x:c r="T708" s="60"/>
      <x:c r="U708" s="60"/>
      <x:c r="V708" s="60"/>
      <x:c r="W708" s="63"/>
      <x:c r="X708" s="65" t="n">
        <x:f>TODAY()</x:f>
        <x:v>46250</x:v>
      </x:c>
    </x:row>
    <x:row r="709">
      <x:c r="A709" s="59" t="str">
        <x:v>TAYLOR</x:v>
      </x:c>
      <x:c r="B709" s="60" t="str">
        <x:v>MAXIMILIAN</x:v>
      </x:c>
      <x:c r="C709" s="60" t="str">
        <x:v>JOHN GRIFFITHS</x:v>
      </x:c>
      <x:c r="D709" s="61" t="n">
        <x:v>35185.5</x:v>
      </x:c>
      <x:c r="E709" s="62" t="n">
        <x:f>IF(OR(D709="",X709=""),"",IFERROR(DATEDIF(D709,X709,"y"),""))</x:f>
        <x:v>30</x:v>
      </x:c>
      <x:c r="F709" s="60" t="str">
        <x:v>GARDINER</x:v>
      </x:c>
      <x:c r="G709" s="63"/>
      <x:c r="H709" s="63"/>
      <x:c r="I709" s="61"/>
      <x:c r="J709" s="64" t="str">
        <x:f>IF(OR(I709="",X709=""),"",IFERROR(DATEDIF(I709,X709,"m")/12,""))</x:f>
      </x:c>
      <x:c r="K709" s="60" t="str">
        <x:v>FLAT 9, 292-294 FULHAM ROAD, LONDON, SW10 9EW</x:v>
      </x:c>
      <x:c r="L709" s="60" t="str">
        <x:v> SW10 9EW</x:v>
      </x:c>
      <x:c r="M709" s="60"/>
      <x:c r="N709" s="60" t="str">
        <x:v>SW10 9EW</x:v>
      </x:c>
      <x:c r="O709" s="61"/>
      <x:c r="P709" s="64" t="str">
        <x:f>IF(OR(O709="",I709=""),"",IFERROR(DATEDIF(O709,I709,"m")/12,""))</x:f>
      </x:c>
      <x:c r="Q709" s="60"/>
      <x:c r="R709" s="61"/>
      <x:c r="S709" s="64" t="str">
        <x:f>IF(OR(R709="",X709=""),"",IFERROR(DATEDIF(R709,X709,"m")/12,""))</x:f>
      </x:c>
      <x:c r="T709" s="60"/>
      <x:c r="U709" s="60"/>
      <x:c r="V709" s="60"/>
      <x:c r="W709" s="63"/>
      <x:c r="X709" s="65" t="n">
        <x:f>TODAY()</x:f>
        <x:v>46250</x:v>
      </x:c>
    </x:row>
    <x:row r="710">
      <x:c r="A710" s="59" t="str">
        <x:v>TAYLOR</x:v>
      </x:c>
      <x:c r="B710" s="60" t="str">
        <x:v>D</x:v>
      </x:c>
      <x:c r="C710" s="60"/>
      <x:c r="D710" s="61"/>
      <x:c r="E710" s="62" t="str">
        <x:f>IF(OR(D710="",X710=""),"",IFERROR(DATEDIF(D710,X710,"y"),""))</x:f>
      </x:c>
      <x:c r="F710" s="60"/>
      <x:c r="G710" s="63"/>
      <x:c r="H710" s="63"/>
      <x:c r="I710" s="61"/>
      <x:c r="J710" s="64" t="str">
        <x:f>IF(OR(I710="",X710=""),"",IFERROR(DATEDIF(I710,X710,"m")/12,""))</x:f>
      </x:c>
      <x:c r="K710" s="60" t="str">
        <x:v>FLAT 3 HEATH VIEW, 8 WINDMILL DRIVE, CLAPHAM, LONDON, SW4 9DE</x:v>
      </x:c>
      <x:c r="L710" s="60" t="str">
        <x:v> SW4 9DE</x:v>
      </x:c>
      <x:c r="M710" s="60"/>
      <x:c r="N710" s="60" t="str">
        <x:v>SW4 9DE</x:v>
      </x:c>
      <x:c r="O710" s="61"/>
      <x:c r="P710" s="64" t="str">
        <x:f>IF(OR(O710="",I710=""),"",IFERROR(DATEDIF(O710,I710,"m")/12,""))</x:f>
      </x:c>
      <x:c r="Q710" s="60"/>
      <x:c r="R710" s="61"/>
      <x:c r="S710" s="64" t="str">
        <x:f>IF(OR(R710="",X710=""),"",IFERROR(DATEDIF(R710,X710,"m")/12,""))</x:f>
      </x:c>
      <x:c r="T710" s="60"/>
      <x:c r="U710" s="60"/>
      <x:c r="V710" s="60"/>
      <x:c r="W710" s="63"/>
      <x:c r="X710" s="65" t="n">
        <x:f>TODAY()</x:f>
        <x:v>46250</x:v>
      </x:c>
    </x:row>
    <x:row r="711">
      <x:c r="A711" s="59" t="str">
        <x:v>TESTI</x:v>
      </x:c>
      <x:c r="B711" s="60" t="str">
        <x:v>ANDREA</x:v>
      </x:c>
      <x:c r="C711" s="60"/>
      <x:c r="D711" s="61" t="n">
        <x:v>30874.5</x:v>
      </x:c>
      <x:c r="E711" s="62" t="n">
        <x:f>IF(OR(D711="",X711=""),"",IFERROR(DATEDIF(D711,X711,"y"),""))</x:f>
        <x:v>42</x:v>
      </x:c>
      <x:c r="F711" s="60"/>
      <x:c r="G711" s="63"/>
      <x:c r="H711" s="63"/>
      <x:c r="I711" s="61"/>
      <x:c r="J711" s="64" t="str">
        <x:f>IF(OR(I711="",X711=""),"",IFERROR(DATEDIF(I711,X711,"m")/12,""))</x:f>
      </x:c>
      <x:c r="K711" s="60" t="str">
        <x:v>FLAT 1, 444A EDGWARE ROAD, LONDON, W2 1EG</x:v>
      </x:c>
      <x:c r="L711" s="60" t="str">
        <x:v> W2 1EG</x:v>
      </x:c>
      <x:c r="M711" s="60"/>
      <x:c r="N711" s="60" t="str">
        <x:v>W2 1EG</x:v>
      </x:c>
      <x:c r="O711" s="61"/>
      <x:c r="P711" s="64" t="str">
        <x:f>IF(OR(O711="",I711=""),"",IFERROR(DATEDIF(O711,I711,"m")/12,""))</x:f>
      </x:c>
      <x:c r="Q711" s="60"/>
      <x:c r="R711" s="61" t="n">
        <x:v>42856.5</x:v>
      </x:c>
      <x:c r="S711" s="64" t="n">
        <x:f>IF(OR(R711="",X711=""),"",IFERROR(DATEDIF(R711,X711,"m")/12,""))</x:f>
        <x:v>9.25</x:v>
      </x:c>
      <x:c r="T711" s="60" t="str">
        <x:v>LEAD NURSE</x:v>
      </x:c>
      <x:c r="U711" s="60" t="str">
        <x:v>KING EDWARD VII'S HOSPITAL</x:v>
      </x:c>
      <x:c r="V711" s="60" t="str">
        <x:v>5-10 BEAUMONT STREET, LONDON, ENGLAND W1G 6AA</x:v>
      </x:c>
      <x:c r="W711" s="63" t="str">
        <x:v>0207 467 3221</x:v>
      </x:c>
      <x:c r="X711" s="65" t="n">
        <x:f>TODAY()</x:f>
        <x:v>46250</x:v>
      </x:c>
    </x:row>
    <x:row r="712">
      <x:c r="A712" s="59" t="str">
        <x:v>THEODOROU</x:v>
      </x:c>
      <x:c r="B712" s="60" t="str">
        <x:v>EIRINIE</x:v>
      </x:c>
      <x:c r="C712" s="60" t="str">
        <x:v>ELLIE</x:v>
      </x:c>
      <x:c r="D712" s="61" t="n">
        <x:v>34681.5</x:v>
      </x:c>
      <x:c r="E712" s="62" t="n">
        <x:f>IF(OR(D712="",X712=""),"",IFERROR(DATEDIF(D712,X712,"y"),""))</x:f>
        <x:v>31</x:v>
      </x:c>
      <x:c r="F712" s="60"/>
      <x:c r="G712" s="63"/>
      <x:c r="H712" s="63"/>
      <x:c r="I712" s="61" t="n">
        <x:v>44593.5</x:v>
      </x:c>
      <x:c r="J712" s="64" t="n">
        <x:f>IF(OR(I712="",X712=""),"",IFERROR(DATEDIF(I712,X712,"m")/12,""))</x:f>
        <x:v>4.5</x:v>
      </x:c>
      <x:c r="K712" s="60" t="str">
        <x:v>FLAT 3, 276-278 FULHAM ROAD, LONDON, UNITED KINGDOM, SW10 9EW</x:v>
      </x:c>
      <x:c r="L712" s="60" t="str">
        <x:v> UNITED KINGDOM, SW10 9EW</x:v>
      </x:c>
      <x:c r="M712" s="60"/>
      <x:c r="N712" s="60" t="str">
        <x:v> SW10 9EW</x:v>
      </x:c>
      <x:c r="O712" s="61" t="n">
        <x:v>43983.5</x:v>
      </x:c>
      <x:c r="P712" s="64" t="n">
        <x:f>IF(OR(O712="",I712=""),"",IFERROR(DATEDIF(O712,I712,"m")/12,""))</x:f>
        <x:v>1.6666666666666667</x:v>
      </x:c>
      <x:c r="Q712" s="60" t="str">
        <x:v>FLAT 3, 268, FULHAM ROAD, LONDON,SW109EW</x:v>
      </x:c>
      <x:c r="R712" s="61"/>
      <x:c r="S712" s="64" t="str">
        <x:f>IF(OR(R712="",X712=""),"",IFERROR(DATEDIF(R712,X712,"m")/12,""))</x:f>
      </x:c>
      <x:c r="T712" s="60"/>
      <x:c r="U712" s="60"/>
      <x:c r="V712" s="60"/>
      <x:c r="W712" s="63"/>
      <x:c r="X712" s="65" t="n">
        <x:f>TODAY()</x:f>
        <x:v>46250</x:v>
      </x:c>
    </x:row>
    <x:row r="713">
      <x:c r="A713" s="59" t="str">
        <x:v>THIRION</x:v>
      </x:c>
      <x:c r="B713" s="60" t="str">
        <x:v>LENN</x:v>
      </x:c>
      <x:c r="C713" s="60"/>
      <x:c r="D713" s="61" t="n">
        <x:v>22507.5</x:v>
      </x:c>
      <x:c r="E713" s="62" t="n">
        <x:f>IF(OR(D713="",X713=""),"",IFERROR(DATEDIF(D713,X713,"y"),""))</x:f>
        <x:v>65</x:v>
      </x:c>
      <x:c r="F713" s="60"/>
      <x:c r="G713" s="63"/>
      <x:c r="H713" s="63"/>
      <x:c r="I713" s="61"/>
      <x:c r="J713" s="64" t="str">
        <x:f>IF(OR(I713="",X713=""),"",IFERROR(DATEDIF(I713,X713,"m")/12,""))</x:f>
      </x:c>
      <x:c r="K713" s="60" t="str">
        <x:v>FLAT 3, 75 GLOUCESTER TERRACE LONDON, W2 3DH</x:v>
      </x:c>
      <x:c r="L713" s="60" t="str">
        <x:v> W2 3DH</x:v>
      </x:c>
      <x:c r="M713" s="60"/>
      <x:c r="N713" s="60" t="str">
        <x:v>W2 3DH</x:v>
      </x:c>
      <x:c r="O713" s="61"/>
      <x:c r="P713" s="64" t="str">
        <x:f>IF(OR(O713="",I713=""),"",IFERROR(DATEDIF(O713,I713,"m")/12,""))</x:f>
      </x:c>
      <x:c r="Q713" s="60"/>
      <x:c r="R713" s="61"/>
      <x:c r="S713" s="64" t="str">
        <x:f>IF(OR(R713="",X713=""),"",IFERROR(DATEDIF(R713,X713,"m")/12,""))</x:f>
      </x:c>
      <x:c r="T713" s="60"/>
      <x:c r="U713" s="60"/>
      <x:c r="V713" s="60"/>
      <x:c r="W713" s="63"/>
      <x:c r="X713" s="65" t="n">
        <x:f>TODAY()</x:f>
        <x:v>46250</x:v>
      </x:c>
    </x:row>
    <x:row r="714">
      <x:c r="A714" s="59" t="str">
        <x:v>THORNTON-DEWHIRST</x:v>
      </x:c>
      <x:c r="B714" s="60" t="str">
        <x:v>JAMES</x:v>
      </x:c>
      <x:c r="C714" s="60"/>
      <x:c r="D714" s="61" t="n">
        <x:v>30641.5</x:v>
      </x:c>
      <x:c r="E714" s="62" t="n">
        <x:f>IF(OR(D714="",X714=""),"",IFERROR(DATEDIF(D714,X714,"y"),""))</x:f>
        <x:v>42</x:v>
      </x:c>
      <x:c r="F714" s="60"/>
      <x:c r="G714" s="63"/>
      <x:c r="H714" s="63"/>
      <x:c r="I714" s="61"/>
      <x:c r="J714" s="64" t="str">
        <x:f>IF(OR(I714="",X714=""),"",IFERROR(DATEDIF(I714,X714,"m")/12,""))</x:f>
      </x:c>
      <x:c r="K714" s="60" t="str">
        <x:v>FLAT4, 359 CLAPHAM ROAD,LONDON, SW9 9BT</x:v>
      </x:c>
      <x:c r="L714" s="60" t="str">
        <x:v> SW9 9BT</x:v>
      </x:c>
      <x:c r="M714" s="60"/>
      <x:c r="N714" s="60" t="str">
        <x:v>SW9 9BT</x:v>
      </x:c>
      <x:c r="O714" s="61"/>
      <x:c r="P714" s="64" t="str">
        <x:f>IF(OR(O714="",I714=""),"",IFERROR(DATEDIF(O714,I714,"m")/12,""))</x:f>
      </x:c>
      <x:c r="Q714" s="60"/>
      <x:c r="R714" s="61"/>
      <x:c r="S714" s="64" t="str">
        <x:f>IF(OR(R714="",X714=""),"",IFERROR(DATEDIF(R714,X714,"m")/12,""))</x:f>
      </x:c>
      <x:c r="T714" s="60"/>
      <x:c r="U714" s="60"/>
      <x:c r="V714" s="60"/>
      <x:c r="W714" s="63"/>
      <x:c r="X714" s="65" t="n">
        <x:f>TODAY()</x:f>
        <x:v>46250</x:v>
      </x:c>
    </x:row>
    <x:row r="715">
      <x:c r="A715" s="59" t="str">
        <x:v>THURSTON</x:v>
      </x:c>
      <x:c r="B715" s="60" t="str">
        <x:v>PETER</x:v>
      </x:c>
      <x:c r="C715" s="60" t="str">
        <x:v>JAMES</x:v>
      </x:c>
      <x:c r="D715" s="61" t="n">
        <x:v>32491.5</x:v>
      </x:c>
      <x:c r="E715" s="62" t="n">
        <x:f>IF(OR(D715="",X715=""),"",IFERROR(DATEDIF(D715,X715,"y"),""))</x:f>
        <x:v>37</x:v>
      </x:c>
      <x:c r="F715" s="60" t="str">
        <x:v>CROUCH</x:v>
      </x:c>
      <x:c r="G715" s="63"/>
      <x:c r="H715" s="63"/>
      <x:c r="I715" s="61" t="n">
        <x:v>42795.5</x:v>
      </x:c>
      <x:c r="J715" s="64" t="n">
        <x:f>IF(OR(I715="",X715=""),"",IFERROR(DATEDIF(I715,X715,"m")/12,""))</x:f>
        <x:v>9.416666666666666</x:v>
      </x:c>
      <x:c r="K715" s="60" t="str">
        <x:v>FLAT 2, HILLBROOK HOUSE, 525-527 FULHAM ROAD, LONDON, SW6 1HD</x:v>
      </x:c>
      <x:c r="L715" s="60" t="str">
        <x:v> SW6 1HD</x:v>
      </x:c>
      <x:c r="M715" s="60"/>
      <x:c r="N715" s="60" t="str">
        <x:v>SW6 1HD</x:v>
      </x:c>
      <x:c r="O715" s="61" t="n">
        <x:v>40695.5</x:v>
      </x:c>
      <x:c r="P715" s="64" t="n">
        <x:f>IF(OR(O715="",I715=""),"",IFERROR(DATEDIF(O715,I715,"m")/12,""))</x:f>
        <x:v>5.75</x:v>
      </x:c>
      <x:c r="Q715" s="60"/>
      <x:c r="R715" s="61"/>
      <x:c r="S715" s="64" t="str">
        <x:f>IF(OR(R715="",X715=""),"",IFERROR(DATEDIF(R715,X715,"m")/12,""))</x:f>
      </x:c>
      <x:c r="T715" s="60"/>
      <x:c r="U715" s="60"/>
      <x:c r="V715" s="60"/>
      <x:c r="W715" s="63"/>
      <x:c r="X715" s="65" t="n">
        <x:f>TODAY()</x:f>
        <x:v>46250</x:v>
      </x:c>
    </x:row>
    <x:row r="716">
      <x:c r="A716" s="59" t="str">
        <x:v>TIRRAORO</x:v>
      </x:c>
      <x:c r="B716" s="60" t="str">
        <x:v>ROBERTO</x:v>
      </x:c>
      <x:c r="C716" s="60" t="str">
        <x:v>MARCO</x:v>
      </x:c>
      <x:c r="D716" s="61" t="n">
        <x:v>24573.5</x:v>
      </x:c>
      <x:c r="E716" s="62" t="n">
        <x:f>IF(OR(D716="",X716=""),"",IFERROR(DATEDIF(D716,X716,"y"),""))</x:f>
        <x:v>59</x:v>
      </x:c>
      <x:c r="F716" s="60"/>
      <x:c r="G716" s="63"/>
      <x:c r="H716" s="63"/>
      <x:c r="I716" s="61"/>
      <x:c r="J716" s="64" t="str">
        <x:f>IF(OR(I716="",X716=""),"",IFERROR(DATEDIF(I716,X716,"m")/12,""))</x:f>
      </x:c>
      <x:c r="K716" s="60" t="str">
        <x:v>4 COMYN ROAD, LONDON, SW11 1QD</x:v>
      </x:c>
      <x:c r="L716" s="60" t="str">
        <x:v> SW11 1QD</x:v>
      </x:c>
      <x:c r="M716" s="60"/>
      <x:c r="N716" s="60" t="str">
        <x:v>SW11 1QD</x:v>
      </x:c>
      <x:c r="O716" s="61"/>
      <x:c r="P716" s="64" t="str">
        <x:f>IF(OR(O716="",I716=""),"",IFERROR(DATEDIF(O716,I716,"m")/12,""))</x:f>
      </x:c>
      <x:c r="Q716" s="60"/>
      <x:c r="R716" s="61"/>
      <x:c r="S716" s="64" t="str">
        <x:f>IF(OR(R716="",X716=""),"",IFERROR(DATEDIF(R716,X716,"m")/12,""))</x:f>
      </x:c>
      <x:c r="T716" s="60"/>
      <x:c r="U716" s="60"/>
      <x:c r="V716" s="60"/>
      <x:c r="W716" s="63"/>
      <x:c r="X716" s="65" t="n">
        <x:f>TODAY()</x:f>
        <x:v>46250</x:v>
      </x:c>
    </x:row>
    <x:row r="717">
      <x:c r="A717" s="59" t="str">
        <x:v>TOES</x:v>
      </x:c>
      <x:c r="B717" s="60" t="str">
        <x:v>JOSEPH</x:v>
      </x:c>
      <x:c r="C717" s="60" t="str">
        <x:v>KENNETH</x:v>
      </x:c>
      <x:c r="D717" s="61"/>
      <x:c r="E717" s="62" t="str">
        <x:f>IF(OR(D717="",X717=""),"",IFERROR(DATEDIF(D717,X717,"y"),""))</x:f>
      </x:c>
      <x:c r="F717" s="60" t="str">
        <x:v>LOCKHART</x:v>
      </x:c>
      <x:c r="G717" s="63"/>
      <x:c r="H717" s="63"/>
      <x:c r="I717" s="61"/>
      <x:c r="J717" s="64" t="str">
        <x:f>IF(OR(I717="",X717=""),"",IFERROR(DATEDIF(I717,X717,"m")/12,""))</x:f>
      </x:c>
      <x:c r="K717" s="60" t="str">
        <x:v>4 ASCOT HOUSE, 65 VENN STREET, LONDON, SW4 0BD</x:v>
      </x:c>
      <x:c r="L717" s="60" t="str">
        <x:v> SW4 0BD</x:v>
      </x:c>
      <x:c r="M717" s="60"/>
      <x:c r="N717" s="60" t="str">
        <x:v>SW4 0BD</x:v>
      </x:c>
      <x:c r="O717" s="61"/>
      <x:c r="P717" s="64" t="str">
        <x:f>IF(OR(O717="",I717=""),"",IFERROR(DATEDIF(O717,I717,"m")/12,""))</x:f>
      </x:c>
      <x:c r="Q717" s="60"/>
      <x:c r="R717" s="61"/>
      <x:c r="S717" s="64" t="str">
        <x:f>IF(OR(R717="",X717=""),"",IFERROR(DATEDIF(R717,X717,"m")/12,""))</x:f>
      </x:c>
      <x:c r="T717" s="60"/>
      <x:c r="U717" s="60"/>
      <x:c r="V717" s="60"/>
      <x:c r="W717" s="63"/>
      <x:c r="X717" s="65" t="n">
        <x:f>TODAY()</x:f>
        <x:v>46250</x:v>
      </x:c>
    </x:row>
    <x:row r="718">
      <x:c r="A718" s="59" t="str">
        <x:v>TOMBOR</x:v>
      </x:c>
      <x:c r="B718" s="60" t="str">
        <x:v>BALAZS</x:v>
      </x:c>
      <x:c r="C718" s="60"/>
      <x:c r="D718" s="61" t="n">
        <x:v>32802.5</x:v>
      </x:c>
      <x:c r="E718" s="62" t="n">
        <x:f>IF(OR(D718="",X718=""),"",IFERROR(DATEDIF(D718,X718,"y"),""))</x:f>
        <x:v>36</x:v>
      </x:c>
      <x:c r="F718" s="60"/>
      <x:c r="G718" s="63"/>
      <x:c r="H718" s="63"/>
      <x:c r="I718" s="61"/>
      <x:c r="J718" s="64" t="str">
        <x:f>IF(OR(I718="",X718=""),"",IFERROR(DATEDIF(I718,X718,"m")/12,""))</x:f>
      </x:c>
      <x:c r="K718" s="60" t="str">
        <x:v>FLAT 17, 61-63 GLOUCESTER TERRACE, LONDON, W2 3DH</x:v>
      </x:c>
      <x:c r="L718" s="60" t="str">
        <x:v> W2 3DH</x:v>
      </x:c>
      <x:c r="M718" s="60"/>
      <x:c r="N718" s="60" t="str">
        <x:v>W2 3DH</x:v>
      </x:c>
      <x:c r="O718" s="61"/>
      <x:c r="P718" s="64" t="str">
        <x:f>IF(OR(O718="",I718=""),"",IFERROR(DATEDIF(O718,I718,"m")/12,""))</x:f>
      </x:c>
      <x:c r="Q718" s="60"/>
      <x:c r="R718" s="61"/>
      <x:c r="S718" s="64" t="str">
        <x:f>IF(OR(R718="",X718=""),"",IFERROR(DATEDIF(R718,X718,"m")/12,""))</x:f>
      </x:c>
      <x:c r="T718" s="60"/>
      <x:c r="U718" s="60"/>
      <x:c r="V718" s="60"/>
      <x:c r="W718" s="63"/>
      <x:c r="X718" s="65" t="n">
        <x:f>TODAY()</x:f>
        <x:v>46250</x:v>
      </x:c>
    </x:row>
    <x:row r="719">
      <x:c r="A719" s="59" t="str">
        <x:v>TORNQVIST</x:v>
      </x:c>
      <x:c r="B719" s="60" t="str">
        <x:v>MALIN</x:v>
      </x:c>
      <x:c r="C719" s="60" t="str">
        <x:v>SOFIA LOUISA</x:v>
      </x:c>
      <x:c r="D719" s="61" t="n">
        <x:v>31917.5</x:v>
      </x:c>
      <x:c r="E719" s="62" t="n">
        <x:f>IF(OR(D719="",X719=""),"",IFERROR(DATEDIF(D719,X719,"y"),""))</x:f>
        <x:v>39</x:v>
      </x:c>
      <x:c r="F719" s="60"/>
      <x:c r="G719" s="63"/>
      <x:c r="H719" s="63"/>
      <x:c r="I719" s="61"/>
      <x:c r="J719" s="64" t="str">
        <x:f>IF(OR(I719="",X719=""),"",IFERROR(DATEDIF(I719,X719,"m")/12,""))</x:f>
      </x:c>
      <x:c r="K719" s="60"/>
      <x:c r="L719" s="60"/>
      <x:c r="M719" s="60"/>
      <x:c r="N719" s="60"/>
      <x:c r="O719" s="61"/>
      <x:c r="P719" s="64" t="str">
        <x:f>IF(OR(O719="",I719=""),"",IFERROR(DATEDIF(O719,I719,"m")/12,""))</x:f>
      </x:c>
      <x:c r="Q719" s="60"/>
      <x:c r="R719" s="61"/>
      <x:c r="S719" s="64" t="str">
        <x:f>IF(OR(R719="",X719=""),"",IFERROR(DATEDIF(R719,X719,"m")/12,""))</x:f>
      </x:c>
      <x:c r="T719" s="60"/>
      <x:c r="U719" s="60"/>
      <x:c r="V719" s="60"/>
      <x:c r="W719" s="63"/>
      <x:c r="X719" s="65" t="n">
        <x:f>TODAY()</x:f>
        <x:v>46250</x:v>
      </x:c>
    </x:row>
    <x:row r="720">
      <x:c r="A720" s="59" t="str">
        <x:v>TOVMASYAN</x:v>
      </x:c>
      <x:c r="B720" s="60" t="str">
        <x:v>MUSHEGH</x:v>
      </x:c>
      <x:c r="C720" s="60"/>
      <x:c r="D720" s="61" t="n">
        <x:v>30571.5</x:v>
      </x:c>
      <x:c r="E720" s="62" t="n">
        <x:f>IF(OR(D720="",X720=""),"",IFERROR(DATEDIF(D720,X720,"y"),""))</x:f>
        <x:v>42</x:v>
      </x:c>
      <x:c r="F720" s="60"/>
      <x:c r="G720" s="63"/>
      <x:c r="H720" s="63"/>
      <x:c r="I720" s="61" t="n">
        <x:v>43466.5</x:v>
      </x:c>
      <x:c r="J720" s="64" t="n">
        <x:f>IF(OR(I720="",X720=""),"",IFERROR(DATEDIF(I720,X720,"m")/12,""))</x:f>
        <x:v>7.583333333333333</x:v>
      </x:c>
      <x:c r="K720" s="60" t="str">
        <x:v>FLAT 6, 45 CLANRICARDE GARDENS, LONDON, W2 4JN</x:v>
      </x:c>
      <x:c r="L720" s="60" t="str">
        <x:v> W2 4JN</x:v>
      </x:c>
      <x:c r="M720" s="60"/>
      <x:c r="N720" s="60" t="str">
        <x:v>W2 4JN</x:v>
      </x:c>
      <x:c r="O720" s="61"/>
      <x:c r="P720" s="64" t="str">
        <x:f>IF(OR(O720="",I720=""),"",IFERROR(DATEDIF(O720,I720,"m")/12,""))</x:f>
      </x:c>
      <x:c r="Q720" s="60"/>
      <x:c r="R720" s="61"/>
      <x:c r="S720" s="64" t="str">
        <x:f>IF(OR(R720="",X720=""),"",IFERROR(DATEDIF(R720,X720,"m")/12,""))</x:f>
      </x:c>
      <x:c r="T720" s="60"/>
      <x:c r="U720" s="60"/>
      <x:c r="V720" s="60"/>
      <x:c r="W720" s="63"/>
      <x:c r="X720" s="65" t="n">
        <x:f>TODAY()</x:f>
        <x:v>46250</x:v>
      </x:c>
    </x:row>
    <x:row r="721">
      <x:c r="A721" s="59" t="str">
        <x:v>TURNER</x:v>
      </x:c>
      <x:c r="B721" s="60" t="str">
        <x:v>FRANCESCA</x:v>
      </x:c>
      <x:c r="C721" s="60"/>
      <x:c r="D721" s="61" t="n">
        <x:v>30524.5</x:v>
      </x:c>
      <x:c r="E721" s="62" t="n">
        <x:f>IF(OR(D721="",X721=""),"",IFERROR(DATEDIF(D721,X721,"y"),""))</x:f>
        <x:v>43</x:v>
      </x:c>
      <x:c r="F721" s="60"/>
      <x:c r="G721" s="63"/>
      <x:c r="H721" s="63"/>
      <x:c r="I721" s="61"/>
      <x:c r="J721" s="64" t="str">
        <x:f>IF(OR(I721="",X721=""),"",IFERROR(DATEDIF(I721,X721,"m")/12,""))</x:f>
      </x:c>
      <x:c r="K721" s="60" t="str">
        <x:v>FLAT 7, 302A OLD BROMPTON ROAD, LONDON, SW5 9JF</x:v>
      </x:c>
      <x:c r="L721" s="60" t="str">
        <x:v> SW5 9JF</x:v>
      </x:c>
      <x:c r="M721" s="60"/>
      <x:c r="N721" s="60" t="str">
        <x:v>SW5 9JF</x:v>
      </x:c>
      <x:c r="O721" s="61"/>
      <x:c r="P721" s="64" t="str">
        <x:f>IF(OR(O721="",I721=""),"",IFERROR(DATEDIF(O721,I721,"m")/12,""))</x:f>
      </x:c>
      <x:c r="Q721" s="60"/>
      <x:c r="R721" s="61"/>
      <x:c r="S721" s="64" t="str">
        <x:f>IF(OR(R721="",X721=""),"",IFERROR(DATEDIF(R721,X721,"m")/12,""))</x:f>
      </x:c>
      <x:c r="T721" s="60"/>
      <x:c r="U721" s="60"/>
      <x:c r="V721" s="60"/>
      <x:c r="W721" s="63"/>
      <x:c r="X721" s="65" t="n">
        <x:f>TODAY()</x:f>
        <x:v>46250</x:v>
      </x:c>
    </x:row>
    <x:row r="722">
      <x:c r="A722" s="59" t="str">
        <x:v>TURTON</x:v>
      </x:c>
      <x:c r="B722" s="60" t="str">
        <x:v>ANDREW</x:v>
      </x:c>
      <x:c r="C722" s="60" t="str">
        <x:v>ANTHONY C</x:v>
      </x:c>
      <x:c r="D722" s="61" t="n">
        <x:v>25526.5</x:v>
      </x:c>
      <x:c r="E722" s="62" t="n">
        <x:f>IF(OR(D722="",X722=""),"",IFERROR(DATEDIF(D722,X722,"y"),""))</x:f>
        <x:v>56</x:v>
      </x:c>
      <x:c r="F722" s="60" t="str">
        <x:v>KING</x:v>
      </x:c>
      <x:c r="G722" s="63"/>
      <x:c r="H722" s="63"/>
      <x:c r="I722" s="61" t="n">
        <x:v>40452.5</x:v>
      </x:c>
      <x:c r="J722" s="64" t="n">
        <x:f>IF(OR(I722="",X722=""),"",IFERROR(DATEDIF(I722,X722,"m")/12,""))</x:f>
        <x:v>15.833333333333334</x:v>
      </x:c>
      <x:c r="K722" s="60"/>
      <x:c r="L722" s="60"/>
      <x:c r="M722" s="60"/>
      <x:c r="N722" s="60"/>
      <x:c r="O722" s="61"/>
      <x:c r="P722" s="64" t="str">
        <x:f>IF(OR(O722="",I722=""),"",IFERROR(DATEDIF(O722,I722,"m")/12,""))</x:f>
      </x:c>
      <x:c r="Q722" s="60"/>
      <x:c r="R722" s="61"/>
      <x:c r="S722" s="64" t="str">
        <x:f>IF(OR(R722="",X722=""),"",IFERROR(DATEDIF(R722,X722,"m")/12,""))</x:f>
      </x:c>
      <x:c r="T722" s="60"/>
      <x:c r="U722" s="60"/>
      <x:c r="V722" s="60"/>
      <x:c r="W722" s="63"/>
      <x:c r="X722" s="65" t="n">
        <x:f>TODAY()</x:f>
        <x:v>46250</x:v>
      </x:c>
    </x:row>
    <x:row r="723">
      <x:c r="A723" s="59" t="str">
        <x:v>U</x:v>
      </x:c>
      <x:c r="B723" s="60"/>
      <x:c r="C723" s="60"/>
      <x:c r="D723" s="61"/>
      <x:c r="E723" s="62" t="str">
        <x:f>IF(OR(D723="",X723=""),"",IFERROR(DATEDIF(D723,X723,"y"),""))</x:f>
      </x:c>
      <x:c r="F723" s="60"/>
      <x:c r="G723" s="63"/>
      <x:c r="H723" s="63"/>
      <x:c r="I723" s="61"/>
      <x:c r="J723" s="64" t="str">
        <x:f>IF(OR(I723="",X723=""),"",IFERROR(DATEDIF(I723,X723,"m")/12,""))</x:f>
      </x:c>
      <x:c r="K723" s="60"/>
      <x:c r="L723" s="60"/>
      <x:c r="M723" s="60"/>
      <x:c r="N723" s="60"/>
      <x:c r="O723" s="61"/>
      <x:c r="P723" s="64" t="str">
        <x:f>IF(OR(O723="",I723=""),"",IFERROR(DATEDIF(O723,I723,"m")/12,""))</x:f>
      </x:c>
      <x:c r="Q723" s="60"/>
      <x:c r="R723" s="61"/>
      <x:c r="S723" s="64" t="str">
        <x:f>IF(OR(R723="",X723=""),"",IFERROR(DATEDIF(R723,X723,"m")/12,""))</x:f>
      </x:c>
      <x:c r="T723" s="60"/>
      <x:c r="U723" s="60"/>
      <x:c r="V723" s="60"/>
      <x:c r="W723" s="63"/>
      <x:c r="X723" s="65" t="n">
        <x:f>TODAY()</x:f>
        <x:v>46250</x:v>
      </x:c>
    </x:row>
    <x:row r="724">
      <x:c r="A724" s="59" t="str">
        <x:v>URBAIN</x:v>
      </x:c>
      <x:c r="B724" s="60" t="str">
        <x:v>ALEXANDER</x:v>
      </x:c>
      <x:c r="C724" s="60" t="str">
        <x:v>JEREMIE</x:v>
      </x:c>
      <x:c r="D724" s="61" t="n">
        <x:v>28428.5</x:v>
      </x:c>
      <x:c r="E724" s="62" t="n">
        <x:f>IF(OR(D724="",X724=""),"",IFERROR(DATEDIF(D724,X724,"y"),""))</x:f>
        <x:v>48</x:v>
      </x:c>
      <x:c r="F724" s="60"/>
      <x:c r="G724" s="63" t="str">
        <x:v>07598 590731</x:v>
      </x:c>
      <x:c r="H724" s="63"/>
      <x:c r="I724" s="61"/>
      <x:c r="J724" s="64" t="str">
        <x:f>IF(OR(I724="",X724=""),"",IFERROR(DATEDIF(I724,X724,"m")/12,""))</x:f>
      </x:c>
      <x:c r="K724" s="60" t="str">
        <x:v>4 VICTORIA ROAD, LODNON, W8 5RD</x:v>
      </x:c>
      <x:c r="L724" s="60"/>
      <x:c r="M724" s="60"/>
      <x:c r="N724" s="60"/>
      <x:c r="O724" s="61"/>
      <x:c r="P724" s="64" t="str">
        <x:f>IF(OR(O724="",I724=""),"",IFERROR(DATEDIF(O724,I724,"m")/12,""))</x:f>
      </x:c>
      <x:c r="Q724" s="60"/>
      <x:c r="R724" s="61"/>
      <x:c r="S724" s="64" t="str">
        <x:f>IF(OR(R724="",X724=""),"",IFERROR(DATEDIF(R724,X724,"m")/12,""))</x:f>
      </x:c>
      <x:c r="T724" s="60"/>
      <x:c r="U724" s="60"/>
      <x:c r="V724" s="60"/>
      <x:c r="W724" s="63"/>
      <x:c r="X724" s="65" t="n">
        <x:f>TODAY()</x:f>
        <x:v>46250</x:v>
      </x:c>
    </x:row>
    <x:row r="725">
      <x:c r="A725" s="59" t="str">
        <x:v>USTUNER</x:v>
      </x:c>
      <x:c r="B725" s="60" t="str">
        <x:v>HASAN</x:v>
      </x:c>
      <x:c r="C725" s="60" t="str">
        <x:v>TUGRUL</x:v>
      </x:c>
      <x:c r="D725" s="61" t="n">
        <x:v>25188.5</x:v>
      </x:c>
      <x:c r="E725" s="62" t="n">
        <x:f>IF(OR(D725="",X725=""),"",IFERROR(DATEDIF(D725,X725,"y"),""))</x:f>
        <x:v>57</x:v>
      </x:c>
      <x:c r="F725" s="60"/>
      <x:c r="G725" s="63"/>
      <x:c r="H725" s="63"/>
      <x:c r="I725" s="61"/>
      <x:c r="J725" s="64" t="str">
        <x:f>IF(OR(I725="",X725=""),"",IFERROR(DATEDIF(I725,X725,"m")/12,""))</x:f>
      </x:c>
      <x:c r="K725" s="60" t="str">
        <x:v>FLAT 1, 35 GREAT QUEEN STREET, LONDON, WC2B5AA</x:v>
      </x:c>
      <x:c r="L725" s="60" t="str">
        <x:v> WC2B5AA</x:v>
      </x:c>
      <x:c r="M725" s="60"/>
      <x:c r="N725" s="60" t="str">
        <x:v>WC2B5AA</x:v>
      </x:c>
      <x:c r="O725" s="61"/>
      <x:c r="P725" s="64" t="str">
        <x:f>IF(OR(O725="",I725=""),"",IFERROR(DATEDIF(O725,I725,"m")/12,""))</x:f>
      </x:c>
      <x:c r="Q725" s="60"/>
      <x:c r="R725" s="61"/>
      <x:c r="S725" s="64" t="str">
        <x:f>IF(OR(R725="",X725=""),"",IFERROR(DATEDIF(R725,X725,"m")/12,""))</x:f>
      </x:c>
      <x:c r="T725" s="60"/>
      <x:c r="U725" s="60"/>
      <x:c r="V725" s="60"/>
      <x:c r="W725" s="63"/>
      <x:c r="X725" s="65" t="n">
        <x:f>TODAY()</x:f>
        <x:v>46250</x:v>
      </x:c>
    </x:row>
    <x:row r="726">
      <x:c r="A726" s="59" t="str">
        <x:v>UVA</x:v>
      </x:c>
      <x:c r="B726" s="60" t="str">
        <x:v>CATERINA</x:v>
      </x:c>
      <x:c r="C726" s="60"/>
      <x:c r="D726" s="61" t="n">
        <x:v>33889.5</x:v>
      </x:c>
      <x:c r="E726" s="62" t="n">
        <x:f>IF(OR(D726="",X726=""),"",IFERROR(DATEDIF(D726,X726,"y"),""))</x:f>
        <x:v>33</x:v>
      </x:c>
      <x:c r="F726" s="60"/>
      <x:c r="G726" s="63" t="str">
        <x:v>‭07572 955097‬</x:v>
      </x:c>
      <x:c r="H726" s="63"/>
      <x:c r="I726" s="61"/>
      <x:c r="J726" s="64" t="str">
        <x:f>IF(OR(I726="",X726=""),"",IFERROR(DATEDIF(I726,X726,"m")/12,""))</x:f>
      </x:c>
      <x:c r="K726" s="60" t="str">
        <x:v>FLAT 7, 276-278 FULHAM ROAD, LONDON, SW10 9EW</x:v>
      </x:c>
      <x:c r="L726" s="60" t="str">
        <x:v> SW10 9EW</x:v>
      </x:c>
      <x:c r="M726" s="60"/>
      <x:c r="N726" s="60" t="str">
        <x:v>SW10 9EW</x:v>
      </x:c>
      <x:c r="O726" s="61"/>
      <x:c r="P726" s="64" t="str">
        <x:f>IF(OR(O726="",I726=""),"",IFERROR(DATEDIF(O726,I726,"m")/12,""))</x:f>
      </x:c>
      <x:c r="Q726" s="60"/>
      <x:c r="R726" s="61" t="n">
        <x:v>43497.5</x:v>
      </x:c>
      <x:c r="S726" s="64" t="n">
        <x:f>IF(OR(R726="",X726=""),"",IFERROR(DATEDIF(R726,X726,"m")/12,""))</x:f>
        <x:v>7.5</x:v>
      </x:c>
      <x:c r="T726" s="60" t="str">
        <x:v>ASSOCIATE MARKETING DIRECTOR</x:v>
      </x:c>
      <x:c r="U726" s="60" t="str">
        <x:v>BRISTOL MYERS SQUIBB</x:v>
      </x:c>
      <x:c r="V726" s="60" t="str">
        <x:v>ARC UXBRIDGE, SANDERSON ROAD,NEW DENHAM, UB8 1DH</x:v>
      </x:c>
      <x:c r="W726" s="63" t="str">
        <x:v>0800 731 1736</x:v>
      </x:c>
      <x:c r="X726" s="65" t="n">
        <x:f>TODAY()</x:f>
        <x:v>46250</x:v>
      </x:c>
    </x:row>
    <x:row r="727">
      <x:c r="A727" s="59" t="str">
        <x:v>V</x:v>
      </x:c>
      <x:c r="B727" s="60"/>
      <x:c r="C727" s="60"/>
      <x:c r="D727" s="61"/>
      <x:c r="E727" s="62" t="str">
        <x:f>IF(OR(D727="",X727=""),"",IFERROR(DATEDIF(D727,X727,"y"),""))</x:f>
      </x:c>
      <x:c r="F727" s="60"/>
      <x:c r="G727" s="63"/>
      <x:c r="H727" s="63"/>
      <x:c r="I727" s="61"/>
      <x:c r="J727" s="64" t="str">
        <x:f>IF(OR(I727="",X727=""),"",IFERROR(DATEDIF(I727,X727,"m")/12,""))</x:f>
      </x:c>
      <x:c r="K727" s="60"/>
      <x:c r="L727" s="60"/>
      <x:c r="M727" s="60"/>
      <x:c r="N727" s="60"/>
      <x:c r="O727" s="61"/>
      <x:c r="P727" s="64" t="str">
        <x:f>IF(OR(O727="",I727=""),"",IFERROR(DATEDIF(O727,I727,"m")/12,""))</x:f>
      </x:c>
      <x:c r="Q727" s="60"/>
      <x:c r="R727" s="61"/>
      <x:c r="S727" s="64" t="str">
        <x:f>IF(OR(R727="",X727=""),"",IFERROR(DATEDIF(R727,X727,"m")/12,""))</x:f>
      </x:c>
      <x:c r="T727" s="60"/>
      <x:c r="U727" s="60"/>
      <x:c r="V727" s="60"/>
      <x:c r="W727" s="63"/>
      <x:c r="X727" s="65" t="n">
        <x:f>TODAY()</x:f>
        <x:v>46250</x:v>
      </x:c>
    </x:row>
    <x:row r="728">
      <x:c r="A728" s="59" t="str">
        <x:v>VACHER-LAVENU</x:v>
      </x:c>
      <x:c r="B728" s="60" t="str">
        <x:v>PIERRE HENRI</x:v>
      </x:c>
      <x:c r="C728" s="60" t="str">
        <x:v>LUCIEN FREDERIC</x:v>
      </x:c>
      <x:c r="D728" s="61" t="n">
        <x:v>32069.5</x:v>
      </x:c>
      <x:c r="E728" s="62" t="n">
        <x:f>IF(OR(D728="",X728=""),"",IFERROR(DATEDIF(D728,X728,"y"),""))</x:f>
        <x:v>38</x:v>
      </x:c>
      <x:c r="F728" s="60"/>
      <x:c r="G728" s="63" t="str">
        <x:v>07493826398</x:v>
      </x:c>
      <x:c r="H728" s="63"/>
      <x:c r="I728" s="61" t="n">
        <x:v>44166.5</x:v>
      </x:c>
      <x:c r="J728" s="64" t="n">
        <x:f>IF(OR(I728="",X728=""),"",IFERROR(DATEDIF(I728,X728,"m")/12,""))</x:f>
        <x:v>5.666666666666667</x:v>
      </x:c>
      <x:c r="K728" s="60" t="str">
        <x:v>FLAT 3, 29 CORNWALL GARDENS, LONDON, SW7 4AP</x:v>
      </x:c>
      <x:c r="L728" s="60" t="str">
        <x:v> SW7 4AP</x:v>
      </x:c>
      <x:c r="M728" s="60"/>
      <x:c r="N728" s="60" t="str">
        <x:v>SW7 4AP</x:v>
      </x:c>
      <x:c r="O728" s="61"/>
      <x:c r="P728" s="64" t="str">
        <x:f>IF(OR(O728="",I728=""),"",IFERROR(DATEDIF(O728,I728,"m")/12,""))</x:f>
      </x:c>
      <x:c r="Q728" s="60"/>
      <x:c r="R728" s="61" t="n">
        <x:v>45017.5</x:v>
      </x:c>
      <x:c r="S728" s="64" t="n">
        <x:f>IF(OR(R728="",X728=""),"",IFERROR(DATEDIF(R728,X728,"m")/12,""))</x:f>
        <x:v>3.3333333333333335</x:v>
      </x:c>
      <x:c r="T728" s="60" t="str">
        <x:v>DIRECTOR</x:v>
      </x:c>
      <x:c r="U728" s="60" t="str">
        <x:v>EQT GROUP</x:v>
      </x:c>
      <x:c r="V728" s="60" t="str">
        <x:v>30 BROADWICK STREET 3RD FLOORLONDONW1F 8JB</x:v>
      </x:c>
      <x:c r="W728" s="63"/>
      <x:c r="X728" s="65" t="n">
        <x:f>TODAY()</x:f>
        <x:v>46250</x:v>
      </x:c>
    </x:row>
    <x:row r="729">
      <x:c r="A729" s="59" t="str">
        <x:v>VALENTE</x:v>
      </x:c>
      <x:c r="B729" s="60" t="str">
        <x:v>ALESSANDRO</x:v>
      </x:c>
      <x:c r="C729" s="60"/>
      <x:c r="D729" s="61" t="n">
        <x:v>33985.5</x:v>
      </x:c>
      <x:c r="E729" s="62" t="n">
        <x:f>IF(OR(D729="",X729=""),"",IFERROR(DATEDIF(D729,X729,"y"),""))</x:f>
        <x:v>33</x:v>
      </x:c>
      <x:c r="F729" s="60"/>
      <x:c r="G729" s="63"/>
      <x:c r="H729" s="63"/>
      <x:c r="I729" s="61" t="n">
        <x:v>43709.5</x:v>
      </x:c>
      <x:c r="J729" s="64" t="n">
        <x:f>IF(OR(I729="",X729=""),"",IFERROR(DATEDIF(I729,X729,"m")/12,""))</x:f>
        <x:v>6.916666666666667</x:v>
      </x:c>
      <x:c r="K729" s="60" t="str">
        <x:v>FLAT 4, 292-294 FULHAM ROAD, LONDON, SW10 9EW</x:v>
      </x:c>
      <x:c r="L729" s="60" t="str">
        <x:v> SW10 9EW</x:v>
      </x:c>
      <x:c r="M729" s="60"/>
      <x:c r="N729" s="60" t="str">
        <x:v>SW10 9EW</x:v>
      </x:c>
      <x:c r="O729" s="61"/>
      <x:c r="P729" s="64" t="str">
        <x:f>IF(OR(O729="",I729=""),"",IFERROR(DATEDIF(O729,I729,"m")/12,""))</x:f>
      </x:c>
      <x:c r="Q729" s="60"/>
      <x:c r="R729" s="61"/>
      <x:c r="S729" s="64" t="str">
        <x:f>IF(OR(R729="",X729=""),"",IFERROR(DATEDIF(R729,X729,"m")/12,""))</x:f>
      </x:c>
      <x:c r="T729" s="60"/>
      <x:c r="U729" s="60"/>
      <x:c r="V729" s="60"/>
      <x:c r="W729" s="63"/>
      <x:c r="X729" s="65" t="n">
        <x:f>TODAY()</x:f>
        <x:v>46250</x:v>
      </x:c>
    </x:row>
    <x:row r="730">
      <x:c r="A730" s="59" t="str">
        <x:v>VAMVAKAS</x:v>
      </x:c>
      <x:c r="B730" s="60" t="str">
        <x:v>PETER</x:v>
      </x:c>
      <x:c r="C730" s="60" t="str">
        <x:v>EVANGELOS</x:v>
      </x:c>
      <x:c r="D730" s="61" t="n">
        <x:v>13041.5</x:v>
      </x:c>
      <x:c r="E730" s="62" t="n">
        <x:f>IF(OR(D730="",X730=""),"",IFERROR(DATEDIF(D730,X730,"y"),""))</x:f>
        <x:v>90</x:v>
      </x:c>
      <x:c r="F730" s="60"/>
      <x:c r="G730" s="63"/>
      <x:c r="H730" s="63"/>
      <x:c r="I730" s="61" t="n">
        <x:v>40391.5</x:v>
      </x:c>
      <x:c r="J730" s="64" t="n">
        <x:f>IF(OR(I730="",X730=""),"",IFERROR(DATEDIF(I730,X730,"m")/12,""))</x:f>
        <x:v>16</x:v>
      </x:c>
      <x:c r="K730" s="60" t="str">
        <x:v>GRIUND FLOOR, 34 BRECHIN PLACE, LONDON, SW7 4QA</x:v>
      </x:c>
      <x:c r="L730" s="60" t="str">
        <x:v> SW7 4QA</x:v>
      </x:c>
      <x:c r="M730" s="60"/>
      <x:c r="N730" s="60" t="str">
        <x:v>SW7 4QA</x:v>
      </x:c>
      <x:c r="O730" s="61"/>
      <x:c r="P730" s="64" t="str">
        <x:f>IF(OR(O730="",I730=""),"",IFERROR(DATEDIF(O730,I730,"m")/12,""))</x:f>
      </x:c>
      <x:c r="Q730" s="60"/>
      <x:c r="R730" s="61"/>
      <x:c r="S730" s="64" t="str">
        <x:f>IF(OR(R730="",X730=""),"",IFERROR(DATEDIF(R730,X730,"m")/12,""))</x:f>
      </x:c>
      <x:c r="T730" s="60"/>
      <x:c r="U730" s="60"/>
      <x:c r="V730" s="60"/>
      <x:c r="W730" s="63"/>
      <x:c r="X730" s="65" t="n">
        <x:f>TODAY()</x:f>
        <x:v>46250</x:v>
      </x:c>
    </x:row>
    <x:row r="731">
      <x:c r="A731" s="59" t="str">
        <x:v>VAN HETEREN</x:v>
      </x:c>
      <x:c r="B731" s="60" t="str">
        <x:v>ADRIENNE</x:v>
      </x:c>
      <x:c r="C731" s="60" t="str">
        <x:v>MARIE MONIQUE</x:v>
      </x:c>
      <x:c r="D731" s="61" t="n">
        <x:v>21943.5</x:v>
      </x:c>
      <x:c r="E731" s="62" t="n">
        <x:f>IF(OR(D731="",X731=""),"",IFERROR(DATEDIF(D731,X731,"y"),""))</x:f>
        <x:v>66</x:v>
      </x:c>
      <x:c r="F731" s="60" t="str">
        <x:v>EASTON</x:v>
      </x:c>
      <x:c r="G731" s="63" t="str">
        <x:v>07760621497</x:v>
      </x:c>
      <x:c r="H731" s="63"/>
      <x:c r="I731" s="61" t="n">
        <x:v>39934.5</x:v>
      </x:c>
      <x:c r="J731" s="64" t="n">
        <x:f>IF(OR(I731="",X731=""),"",IFERROR(DATEDIF(I731,X731,"m")/12,""))</x:f>
        <x:v>17.25</x:v>
      </x:c>
      <x:c r="K731" s="60" t="str">
        <x:v>FLAT 3, 6 WINDMILL DRIVE, LONDON, SW4 9DE</x:v>
      </x:c>
      <x:c r="L731" s="60" t="str">
        <x:v> SW4 9DE</x:v>
      </x:c>
      <x:c r="M731" s="60"/>
      <x:c r="N731" s="60" t="str">
        <x:v>SW4 9DE</x:v>
      </x:c>
      <x:c r="O731" s="61"/>
      <x:c r="P731" s="64" t="str">
        <x:f>IF(OR(O731="",I731=""),"",IFERROR(DATEDIF(O731,I731,"m")/12,""))</x:f>
      </x:c>
      <x:c r="Q731" s="60"/>
      <x:c r="R731" s="61" t="n">
        <x:v>42948.5</x:v>
      </x:c>
      <x:c r="S731" s="64" t="n">
        <x:f>IF(OR(R731="",X731=""),"",IFERROR(DATEDIF(R731,X731,"m")/12,""))</x:f>
        <x:v>9</x:v>
      </x:c>
      <x:c r="T731" s="60" t="str">
        <x:v>COMPANY DIRECTOR</x:v>
      </x:c>
      <x:c r="U731" s="60" t="str">
        <x:v>SMALL MEDIA FOUNDATION</x:v>
      </x:c>
      <x:c r="V731" s="60" t="str">
        <x:v>27 OLD GLOUCESTER STREET, LONDON, ENGLAND, WC1N 3AX</x:v>
      </x:c>
      <x:c r="W731" s="63"/>
      <x:c r="X731" s="65" t="n">
        <x:f>TODAY()</x:f>
        <x:v>46250</x:v>
      </x:c>
    </x:row>
    <x:row r="732">
      <x:c r="A732" s="59" t="str">
        <x:v>VAN NOORLOOS</x:v>
      </x:c>
      <x:c r="B732" s="60" t="str">
        <x:v>SANDER</x:v>
      </x:c>
      <x:c r="C732" s="60" t="str">
        <x:v>CHRISTIAAN</x:v>
      </x:c>
      <x:c r="D732" s="61" t="n">
        <x:v>33590.5</x:v>
      </x:c>
      <x:c r="E732" s="62" t="n">
        <x:f>IF(OR(D732="",X732=""),"",IFERROR(DATEDIF(D732,X732,"y"),""))</x:f>
        <x:v>34</x:v>
      </x:c>
      <x:c r="F732" s="60"/>
      <x:c r="G732" s="63" t="str">
        <x:v>07553835216</x:v>
      </x:c>
      <x:c r="H732" s="63" t="str">
        <x:v>SY406440A</x:v>
      </x:c>
      <x:c r="I732" s="61" t="n">
        <x:v>44805.5</x:v>
      </x:c>
      <x:c r="J732" s="64" t="n">
        <x:f>IF(OR(I732="",X732=""),"",IFERROR(DATEDIF(I732,X732,"m")/12,""))</x:f>
        <x:v>3.9166666666666665</x:v>
      </x:c>
      <x:c r="K732" s="60" t="str">
        <x:v>FLAT 1, 79-81 WESTBOURNE TERRACE, W2 6QS</x:v>
      </x:c>
      <x:c r="L732" s="60"/>
      <x:c r="M732" s="60"/>
      <x:c r="N732" s="60"/>
      <x:c r="O732" s="61" t="n">
        <x:v>44562.5</x:v>
      </x:c>
      <x:c r="P732" s="64" t="n">
        <x:f>IF(OR(O732="",I732=""),"",IFERROR(DATEDIF(O732,I732,"m")/12,""))</x:f>
        <x:v>0.6666666666666666</x:v>
      </x:c>
      <x:c r="Q732" s="60" t="str">
        <x:v>FLAT 14, 75 GLOUCESTER TERRACE, W2 3QH</x:v>
      </x:c>
      <x:c r="R732" s="61" t="n">
        <x:v>43221.5</x:v>
      </x:c>
      <x:c r="S732" s="64" t="n">
        <x:f>IF(OR(R732="",X732=""),"",IFERROR(DATEDIF(R732,X732,"m")/12,""))</x:f>
        <x:v>8.25</x:v>
      </x:c>
      <x:c r="T732" s="60" t="str">
        <x:v>OPERATIONS MANAGER</x:v>
      </x:c>
      <x:c r="U732" s="60" t="str">
        <x:v>BRITISH AIRWAYS</x:v>
      </x:c>
      <x:c r="V732" s="60" t="str">
        <x:v>WATERSIDE HEADQUARTERS, HARMONDSWORTH, MIDDLESEX, UB7 OGA</x:v>
      </x:c>
      <x:c r="W732" s="63" t="str">
        <x:v>0208 562 8035</x:v>
      </x:c>
      <x:c r="X732" s="65" t="n">
        <x:f>TODAY()</x:f>
        <x:v>46250</x:v>
      </x:c>
    </x:row>
    <x:row r="733">
      <x:c r="A733" s="59" t="str">
        <x:v>VAUDAGNA</x:v>
      </x:c>
      <x:c r="B733" s="60" t="str">
        <x:v>GIADA</x:v>
      </x:c>
      <x:c r="C733" s="60"/>
      <x:c r="D733" s="61" t="n">
        <x:v>35397.5</x:v>
      </x:c>
      <x:c r="E733" s="62" t="n">
        <x:f>IF(OR(D733="",X733=""),"",IFERROR(DATEDIF(D733,X733,"y"),""))</x:f>
        <x:v>29</x:v>
      </x:c>
      <x:c r="F733" s="60"/>
      <x:c r="G733" s="63"/>
      <x:c r="H733" s="63"/>
      <x:c r="I733" s="61" t="n">
        <x:v>44774.5</x:v>
      </x:c>
      <x:c r="J733" s="64" t="n">
        <x:f>IF(OR(I733="",X733=""),"",IFERROR(DATEDIF(I733,X733,"m")/12,""))</x:f>
        <x:v>4</x:v>
      </x:c>
      <x:c r="K733" s="60" t="str">
        <x:v>FLAT 303, 30-31 PHILBEACH GARDENS, LONDON, SW5 9EB</x:v>
      </x:c>
      <x:c r="L733" s="60" t="str">
        <x:v> SW5 9EB</x:v>
      </x:c>
      <x:c r="M733" s="60"/>
      <x:c r="N733" s="60" t="str">
        <x:v>SW5 9EB</x:v>
      </x:c>
      <x:c r="O733" s="61" t="n">
        <x:v>44228.5</x:v>
      </x:c>
      <x:c r="P733" s="64" t="n">
        <x:f>IF(OR(O733="",I733=""),"",IFERROR(DATEDIF(O733,I733,"m")/12,""))</x:f>
        <x:v>1.5</x:v>
      </x:c>
      <x:c r="Q733" s="60" t="str">
        <x:v>FLAT J, 25 NEVERN SQUARE, LONDON, SW5 9PD</x:v>
      </x:c>
      <x:c r="R733" s="61" t="n">
        <x:v>44958.5</x:v>
      </x:c>
      <x:c r="S733" s="64" t="n">
        <x:f>IF(OR(R733="",X733=""),"",IFERROR(DATEDIF(R733,X733,"m")/12,""))</x:f>
        <x:v>3.5</x:v>
      </x:c>
      <x:c r="T733" s="60" t="str">
        <x:v>CLIENT SOLUTIONS MANAGER</x:v>
      </x:c>
      <x:c r="U733" s="60" t="str">
        <x:v>SAMSUNG ADS</x:v>
      </x:c>
      <x:c r="V733" s="60" t="str">
        <x:v>1000 HILLSWOOD DRIVE, CHERTSEY, SURREY KT16 0RS</x:v>
      </x:c>
      <x:c r="W733" s="63" t="str">
        <x:v>0330 726 1022</x:v>
      </x:c>
      <x:c r="X733" s="65" t="n">
        <x:f>TODAY()</x:f>
        <x:v>46250</x:v>
      </x:c>
    </x:row>
    <x:row r="734">
      <x:c r="A734" s="59" t="str">
        <x:v>VELASEVIC</x:v>
      </x:c>
      <x:c r="B734" s="60" t="str">
        <x:v>MILAN</x:v>
      </x:c>
      <x:c r="C734" s="60"/>
      <x:c r="D734" s="61" t="n">
        <x:v>22681.5</x:v>
      </x:c>
      <x:c r="E734" s="62" t="n">
        <x:f>IF(OR(D734="",X734=""),"",IFERROR(DATEDIF(D734,X734,"y"),""))</x:f>
        <x:v>64</x:v>
      </x:c>
      <x:c r="F734" s="60"/>
      <x:c r="G734" s="63"/>
      <x:c r="H734" s="63"/>
      <x:c r="I734" s="61" t="n">
        <x:v>37377.5</x:v>
      </x:c>
      <x:c r="J734" s="64" t="n">
        <x:f>IF(OR(I734="",X734=""),"",IFERROR(DATEDIF(I734,X734,"m")/12,""))</x:f>
        <x:v>24.25</x:v>
      </x:c>
      <x:c r="K734" s="60" t="str">
        <x:v>FLAT 11, 4 QUEENS GATE PLACE, LONDON, SW7 5NT</x:v>
      </x:c>
      <x:c r="L734" s="60" t="str">
        <x:v> SW7 5NT</x:v>
      </x:c>
      <x:c r="M734" s="60"/>
      <x:c r="N734" s="60" t="str">
        <x:v>SW7 5NT</x:v>
      </x:c>
      <x:c r="O734" s="61"/>
      <x:c r="P734" s="64" t="str">
        <x:f>IF(OR(O734="",I734=""),"",IFERROR(DATEDIF(O734,I734,"m")/12,""))</x:f>
      </x:c>
      <x:c r="Q734" s="60"/>
      <x:c r="R734" s="61"/>
      <x:c r="S734" s="64" t="str">
        <x:f>IF(OR(R734="",X734=""),"",IFERROR(DATEDIF(R734,X734,"m")/12,""))</x:f>
      </x:c>
      <x:c r="T734" s="60"/>
      <x:c r="U734" s="60"/>
      <x:c r="V734" s="60"/>
      <x:c r="W734" s="63"/>
      <x:c r="X734" s="65" t="n">
        <x:f>TODAY()</x:f>
        <x:v>46250</x:v>
      </x:c>
    </x:row>
    <x:row r="735">
      <x:c r="A735" s="59" t="str">
        <x:v>VIVANCOS</x:v>
      </x:c>
      <x:c r="B735" s="60" t="str">
        <x:v>MARIA</x:v>
      </x:c>
      <x:c r="C735" s="60"/>
      <x:c r="D735" s="61"/>
      <x:c r="E735" s="62" t="str">
        <x:f>IF(OR(D735="",X735=""),"",IFERROR(DATEDIF(D735,X735,"y"),""))</x:f>
      </x:c>
      <x:c r="F735" s="60"/>
      <x:c r="G735" s="63"/>
      <x:c r="H735" s="63"/>
      <x:c r="I735" s="61"/>
      <x:c r="J735" s="64" t="str">
        <x:f>IF(OR(I735="",X735=""),"",IFERROR(DATEDIF(I735,X735,"m")/12,""))</x:f>
      </x:c>
      <x:c r="K735" s="60" t="str">
        <x:v>FLAT 10, 223 CLAPHAM ROAD, LONDON, SW9 9BE</x:v>
      </x:c>
      <x:c r="L735" s="60" t="str">
        <x:v> SW9 9BE</x:v>
      </x:c>
      <x:c r="M735" s="60"/>
      <x:c r="N735" s="60" t="str">
        <x:v>SW9 9BE</x:v>
      </x:c>
      <x:c r="O735" s="61"/>
      <x:c r="P735" s="64" t="str">
        <x:f>IF(OR(O735="",I735=""),"",IFERROR(DATEDIF(O735,I735,"m")/12,""))</x:f>
      </x:c>
      <x:c r="Q735" s="60"/>
      <x:c r="R735" s="61"/>
      <x:c r="S735" s="64" t="str">
        <x:f>IF(OR(R735="",X735=""),"",IFERROR(DATEDIF(R735,X735,"m")/12,""))</x:f>
      </x:c>
      <x:c r="T735" s="60"/>
      <x:c r="U735" s="60"/>
      <x:c r="V735" s="60"/>
      <x:c r="W735" s="63"/>
      <x:c r="X735" s="65" t="n">
        <x:f>TODAY()</x:f>
        <x:v>46250</x:v>
      </x:c>
    </x:row>
    <x:row r="736">
      <x:c r="A736" s="59" t="str">
        <x:v>W</x:v>
      </x:c>
      <x:c r="B736" s="60"/>
      <x:c r="C736" s="60"/>
      <x:c r="D736" s="61"/>
      <x:c r="E736" s="62" t="str">
        <x:f>IF(OR(D736="",X736=""),"",IFERROR(DATEDIF(D736,X736,"y"),""))</x:f>
      </x:c>
      <x:c r="F736" s="60"/>
      <x:c r="G736" s="63"/>
      <x:c r="H736" s="63"/>
      <x:c r="I736" s="61"/>
      <x:c r="J736" s="64" t="str">
        <x:f>IF(OR(I736="",X736=""),"",IFERROR(DATEDIF(I736,X736,"m")/12,""))</x:f>
      </x:c>
      <x:c r="K736" s="60"/>
      <x:c r="L736" s="60"/>
      <x:c r="M736" s="60"/>
      <x:c r="N736" s="60"/>
      <x:c r="O736" s="61"/>
      <x:c r="P736" s="64" t="str">
        <x:f>IF(OR(O736="",I736=""),"",IFERROR(DATEDIF(O736,I736,"m")/12,""))</x:f>
      </x:c>
      <x:c r="Q736" s="60"/>
      <x:c r="R736" s="61"/>
      <x:c r="S736" s="64" t="str">
        <x:f>IF(OR(R736="",X736=""),"",IFERROR(DATEDIF(R736,X736,"m")/12,""))</x:f>
      </x:c>
      <x:c r="T736" s="60"/>
      <x:c r="U736" s="60"/>
      <x:c r="V736" s="60"/>
      <x:c r="W736" s="63"/>
      <x:c r="X736" s="65" t="n">
        <x:f>TODAY()</x:f>
        <x:v>46250</x:v>
      </x:c>
    </x:row>
    <x:row r="737">
      <x:c r="A737" s="59" t="str">
        <x:v>WADDINGTON</x:v>
      </x:c>
      <x:c r="B737" s="60" t="str">
        <x:v>ANA</x:v>
      </x:c>
      <x:c r="C737" s="60"/>
      <x:c r="D737" s="61" t="n">
        <x:v>32436.5</x:v>
      </x:c>
      <x:c r="E737" s="62" t="n">
        <x:f>IF(OR(D737="",X737=""),"",IFERROR(DATEDIF(D737,X737,"y"),""))</x:f>
        <x:v>37</x:v>
      </x:c>
      <x:c r="F737" s="60"/>
      <x:c r="G737" s="63"/>
      <x:c r="H737" s="63"/>
      <x:c r="I737" s="61"/>
      <x:c r="J737" s="64" t="str">
        <x:f>IF(OR(I737="",X737=""),"",IFERROR(DATEDIF(I737,X737,"m")/12,""))</x:f>
      </x:c>
      <x:c r="K737" s="60"/>
      <x:c r="L737" s="60"/>
      <x:c r="M737" s="60"/>
      <x:c r="N737" s="60"/>
      <x:c r="O737" s="61"/>
      <x:c r="P737" s="64" t="str">
        <x:f>IF(OR(O737="",I737=""),"",IFERROR(DATEDIF(O737,I737,"m")/12,""))</x:f>
      </x:c>
      <x:c r="Q737" s="60"/>
      <x:c r="R737" s="61"/>
      <x:c r="S737" s="64" t="str">
        <x:f>IF(OR(R737="",X737=""),"",IFERROR(DATEDIF(R737,X737,"m")/12,""))</x:f>
      </x:c>
      <x:c r="T737" s="60"/>
      <x:c r="U737" s="60"/>
      <x:c r="V737" s="60"/>
      <x:c r="W737" s="63"/>
      <x:c r="X737" s="65" t="n">
        <x:f>TODAY()</x:f>
        <x:v>46250</x:v>
      </x:c>
    </x:row>
    <x:row r="738">
      <x:c r="A738" s="59" t="str">
        <x:v>WALKER</x:v>
      </x:c>
      <x:c r="B738" s="60" t="str">
        <x:v>ALEXANDRA</x:v>
      </x:c>
      <x:c r="C738" s="60" t="str">
        <x:v>KATYA</x:v>
      </x:c>
      <x:c r="D738" s="61"/>
      <x:c r="E738" s="62" t="str">
        <x:f>IF(OR(D738="",X738=""),"",IFERROR(DATEDIF(D738,X738,"y"),""))</x:f>
      </x:c>
      <x:c r="F738" s="60"/>
      <x:c r="G738" s="63"/>
      <x:c r="H738" s="63" t="str">
        <x:v>PA204713B</x:v>
      </x:c>
      <x:c r="I738" s="61"/>
      <x:c r="J738" s="64" t="str">
        <x:f>IF(OR(I738="",X738=""),"",IFERROR(DATEDIF(I738,X738,"m")/12,""))</x:f>
      </x:c>
      <x:c r="K738" s="60"/>
      <x:c r="L738" s="60"/>
      <x:c r="M738" s="60"/>
      <x:c r="N738" s="60"/>
      <x:c r="O738" s="61"/>
      <x:c r="P738" s="64" t="str">
        <x:f>IF(OR(O738="",I738=""),"",IFERROR(DATEDIF(O738,I738,"m")/12,""))</x:f>
      </x:c>
      <x:c r="Q738" s="60"/>
      <x:c r="R738" s="61"/>
      <x:c r="S738" s="64" t="str">
        <x:f>IF(OR(R738="",X738=""),"",IFERROR(DATEDIF(R738,X738,"m")/12,""))</x:f>
      </x:c>
      <x:c r="T738" s="60"/>
      <x:c r="U738" s="60"/>
      <x:c r="V738" s="60"/>
      <x:c r="W738" s="63"/>
      <x:c r="X738" s="65" t="n">
        <x:f>TODAY()</x:f>
        <x:v>46250</x:v>
      </x:c>
    </x:row>
    <x:row r="739">
      <x:c r="A739" s="59" t="str">
        <x:v>WALLACE</x:v>
      </x:c>
      <x:c r="B739" s="60" t="str">
        <x:v>JENNIFER</x:v>
      </x:c>
      <x:c r="C739" s="60" t="str">
        <x:v>CHRISTINE</x:v>
      </x:c>
      <x:c r="D739" s="61" t="n">
        <x:v>27627.5</x:v>
      </x:c>
      <x:c r="E739" s="62" t="n">
        <x:f>IF(OR(D739="",X739=""),"",IFERROR(DATEDIF(D739,X739,"y"),""))</x:f>
        <x:v>50</x:v>
      </x:c>
      <x:c r="F739" s="60" t="str">
        <x:v>SILVA</x:v>
      </x:c>
      <x:c r="G739" s="63"/>
      <x:c r="H739" s="63"/>
      <x:c r="I739" s="61" t="n">
        <x:v>38473.5</x:v>
      </x:c>
      <x:c r="J739" s="64" t="n">
        <x:f>IF(OR(I739="",X739=""),"",IFERROR(DATEDIF(I739,X739,"m")/12,""))</x:f>
        <x:v>21.25</x:v>
      </x:c>
      <x:c r="K739" s="60" t="str">
        <x:v>27A QUEEN'S GATE GARDENS, LONDON, SW7 5RP</x:v>
      </x:c>
      <x:c r="L739" s="60" t="str">
        <x:v> SW7 5RP</x:v>
      </x:c>
      <x:c r="M739" s="60"/>
      <x:c r="N739" s="60" t="str">
        <x:v>SW7 5RP</x:v>
      </x:c>
      <x:c r="O739" s="61"/>
      <x:c r="P739" s="64" t="str">
        <x:f>IF(OR(O739="",I739=""),"",IFERROR(DATEDIF(O739,I739,"m")/12,""))</x:f>
      </x:c>
      <x:c r="Q739" s="60"/>
      <x:c r="R739" s="61"/>
      <x:c r="S739" s="64" t="str">
        <x:f>IF(OR(R739="",X739=""),"",IFERROR(DATEDIF(R739,X739,"m")/12,""))</x:f>
      </x:c>
      <x:c r="T739" s="60"/>
      <x:c r="U739" s="60"/>
      <x:c r="V739" s="60"/>
      <x:c r="W739" s="63"/>
      <x:c r="X739" s="65" t="n">
        <x:f>TODAY()</x:f>
        <x:v>46250</x:v>
      </x:c>
    </x:row>
    <x:row r="740">
      <x:c r="A740" s="59" t="str">
        <x:v>WALLACE</x:v>
      </x:c>
      <x:c r="B740" s="60" t="str">
        <x:v>ANDRE</x:v>
      </x:c>
      <x:c r="C740" s="60" t="str">
        <x:v>HAROLD CHARLES</x:v>
      </x:c>
      <x:c r="D740" s="61" t="n">
        <x:v>17397.5</x:v>
      </x:c>
      <x:c r="E740" s="62" t="n">
        <x:f>IF(OR(D740="",X740=""),"",IFERROR(DATEDIF(D740,X740,"y"),""))</x:f>
        <x:v>78</x:v>
      </x:c>
      <x:c r="F740" s="60" t="str">
        <x:v>CORNISH</x:v>
      </x:c>
      <x:c r="G740" s="63"/>
      <x:c r="H740" s="63"/>
      <x:c r="I740" s="61" t="n">
        <x:v>37377.5</x:v>
      </x:c>
      <x:c r="J740" s="64" t="n">
        <x:f>IF(OR(I740="",X740=""),"",IFERROR(DATEDIF(I740,X740,"m")/12,""))</x:f>
        <x:v>24.25</x:v>
      </x:c>
      <x:c r="K740" s="60" t="str">
        <x:v>FLAT 11, 75 LINDEN GARDENS, LONDON, W2 4HB</x:v>
      </x:c>
      <x:c r="L740" s="60" t="str">
        <x:v> W2 4HB</x:v>
      </x:c>
      <x:c r="M740" s="60"/>
      <x:c r="N740" s="60" t="str">
        <x:v>W2 4HB</x:v>
      </x:c>
      <x:c r="O740" s="61"/>
      <x:c r="P740" s="64" t="str">
        <x:f>IF(OR(O740="",I740=""),"",IFERROR(DATEDIF(O740,I740,"m")/12,""))</x:f>
      </x:c>
      <x:c r="Q740" s="60"/>
      <x:c r="R740" s="61"/>
      <x:c r="S740" s="64" t="str">
        <x:f>IF(OR(R740="",X740=""),"",IFERROR(DATEDIF(R740,X740,"m")/12,""))</x:f>
      </x:c>
      <x:c r="T740" s="60"/>
      <x:c r="U740" s="60"/>
      <x:c r="V740" s="60"/>
      <x:c r="W740" s="63"/>
      <x:c r="X740" s="65" t="n">
        <x:f>TODAY()</x:f>
        <x:v>46250</x:v>
      </x:c>
    </x:row>
    <x:row r="741">
      <x:c r="A741" s="59" t="str">
        <x:v>WALSH</x:v>
      </x:c>
      <x:c r="B741" s="60" t="str">
        <x:v>ZOE</x:v>
      </x:c>
      <x:c r="C741" s="60" t="str">
        <x:v>CONSTANCE</x:v>
      </x:c>
      <x:c r="D741" s="61" t="n">
        <x:v>34560.5</x:v>
      </x:c>
      <x:c r="E741" s="62" t="n">
        <x:f>IF(OR(D741="",X741=""),"",IFERROR(DATEDIF(D741,X741,"y"),""))</x:f>
        <x:v>32</x:v>
      </x:c>
      <x:c r="F741" s="60"/>
      <x:c r="G741" s="63" t="str">
        <x:v>07535639047</x:v>
      </x:c>
      <x:c r="H741" s="63" t="str">
        <x:v>SR476055D</x:v>
      </x:c>
      <x:c r="I741" s="61"/>
      <x:c r="J741" s="64" t="str">
        <x:f>IF(OR(I741="",X741=""),"",IFERROR(DATEDIF(I741,X741,"m")/12,""))</x:f>
      </x:c>
      <x:c r="K741" s="60"/>
      <x:c r="L741" s="60"/>
      <x:c r="M741" s="60"/>
      <x:c r="N741" s="60"/>
      <x:c r="O741" s="61"/>
      <x:c r="P741" s="64" t="str">
        <x:f>IF(OR(O741="",I741=""),"",IFERROR(DATEDIF(O741,I741,"m")/12,""))</x:f>
      </x:c>
      <x:c r="Q741" s="60"/>
      <x:c r="R741" s="61"/>
      <x:c r="S741" s="64" t="str">
        <x:f>IF(OR(R741="",X741=""),"",IFERROR(DATEDIF(R741,X741,"m")/12,""))</x:f>
      </x:c>
      <x:c r="T741" s="60"/>
      <x:c r="U741" s="60"/>
      <x:c r="V741" s="60"/>
      <x:c r="W741" s="63"/>
      <x:c r="X741" s="65" t="n">
        <x:f>TODAY()</x:f>
        <x:v>46250</x:v>
      </x:c>
    </x:row>
    <x:row r="742">
      <x:c r="A742" s="59" t="str">
        <x:v>WARTIG</x:v>
      </x:c>
      <x:c r="B742" s="60" t="str">
        <x:v>JAMES</x:v>
      </x:c>
      <x:c r="C742" s="60" t="str">
        <x:v>KURT</x:v>
      </x:c>
      <x:c r="D742" s="61" t="n">
        <x:v>33453.5</x:v>
      </x:c>
      <x:c r="E742" s="62" t="n">
        <x:f>IF(OR(D742="",X742=""),"",IFERROR(DATEDIF(D742,X742,"y"),""))</x:f>
        <x:v>35</x:v>
      </x:c>
      <x:c r="F742" s="60" t="str">
        <x:v>CAMPBELL</x:v>
      </x:c>
      <x:c r="G742" s="63"/>
      <x:c r="H742" s="63"/>
      <x:c r="I742" s="61" t="n">
        <x:v>44075.5</x:v>
      </x:c>
      <x:c r="J742" s="64" t="n">
        <x:f>IF(OR(I742="",X742=""),"",IFERROR(DATEDIF(I742,X742,"m")/12,""))</x:f>
        <x:v>5.916666666666667</x:v>
      </x:c>
      <x:c r="K742" s="60" t="str">
        <x:v>FLAT 5,421A NORTH END ROAD, LONDON, SW6 1 NY</x:v>
      </x:c>
      <x:c r="L742" s="60" t="str">
        <x:v> SW6 1 NY</x:v>
      </x:c>
      <x:c r="M742" s="60"/>
      <x:c r="N742" s="60" t="str">
        <x:v>SW6 1 NY</x:v>
      </x:c>
      <x:c r="O742" s="61" t="n">
        <x:v>42917.5</x:v>
      </x:c>
      <x:c r="P742" s="64" t="n">
        <x:f>IF(OR(O742="",I742=""),"",IFERROR(DATEDIF(O742,I742,"m")/12,""))</x:f>
        <x:v>3.1666666666666665</x:v>
      </x:c>
      <x:c r="Q742" s="60" t="str">
        <x:v>FLAT 1, 26 QUEENSBERRY PLACE, KNIGHTSBRIDGE, LONDON, SW7 2DR</x:v>
      </x:c>
      <x:c r="R742" s="61"/>
      <x:c r="S742" s="64" t="str">
        <x:f>IF(OR(R742="",X742=""),"",IFERROR(DATEDIF(R742,X742,"m")/12,""))</x:f>
      </x:c>
      <x:c r="T742" s="60"/>
      <x:c r="U742" s="60"/>
      <x:c r="V742" s="60"/>
      <x:c r="W742" s="63"/>
      <x:c r="X742" s="65" t="n">
        <x:f>TODAY()</x:f>
        <x:v>46250</x:v>
      </x:c>
    </x:row>
    <x:row r="743">
      <x:c r="A743" s="59" t="str">
        <x:v>WEINBERGER</x:v>
      </x:c>
      <x:c r="B743" s="60" t="str">
        <x:v>YANNICK</x:v>
      </x:c>
      <x:c r="C743" s="60" t="str">
        <x:v>MICHAEL</x:v>
      </x:c>
      <x:c r="D743" s="61" t="n">
        <x:v>34638.5</x:v>
      </x:c>
      <x:c r="E743" s="62" t="n">
        <x:f>IF(OR(D743="",X743=""),"",IFERROR(DATEDIF(D743,X743,"y"),""))</x:f>
        <x:v>31</x:v>
      </x:c>
      <x:c r="F743" s="60"/>
      <x:c r="G743" s="63" t="str">
        <x:v>07789478093</x:v>
      </x:c>
      <x:c r="H743" s="63"/>
      <x:c r="I743" s="61" t="n">
        <x:v>44440.5</x:v>
      </x:c>
      <x:c r="J743" s="64" t="n">
        <x:f>IF(OR(I743="",X743=""),"",IFERROR(DATEDIF(I743,X743,"m")/12,""))</x:f>
        <x:v>4.916666666666667</x:v>
      </x:c>
      <x:c r="K743" s="60" t="str">
        <x:v>12 KINGS MANSIONS LAWRENCE STREET LONDON, SW3 5ND</x:v>
      </x:c>
      <x:c r="L743" s="60" t="str">
        <x:v> SW3 5ND</x:v>
      </x:c>
      <x:c r="M743" s="60"/>
      <x:c r="N743" s="60" t="str">
        <x:v>SW3 5ND</x:v>
      </x:c>
      <x:c r="O743" s="61" t="n">
        <x:v>43770.5</x:v>
      </x:c>
      <x:c r="P743" s="64" t="n">
        <x:f>IF(OR(O743="",I743=""),"",IFERROR(DATEDIF(O743,I743,"m")/12,""))</x:f>
        <x:v>1.8333333333333333</x:v>
      </x:c>
      <x:c r="Q743" s="60" t="str">
        <x:v>9, TREBOVIR ROAD, LONDON,SW5 9LS</x:v>
      </x:c>
      <x:c r="R743" s="61" t="n">
        <x:v>44409.5</x:v>
      </x:c>
      <x:c r="S743" s="64" t="n">
        <x:f>IF(OR(R743="",X743=""),"",IFERROR(DATEDIF(R743,X743,"m")/12,""))</x:f>
        <x:v>5</x:v>
      </x:c>
      <x:c r="T743" s="60" t="str">
        <x:v>ACCOUNT EXECUTIVE</x:v>
      </x:c>
      <x:c r="U743" s="60" t="str">
        <x:v>CREATOR IQ</x:v>
      </x:c>
      <x:c r="V743" s="60" t="str">
        <x:v>SUITE 2 FIRST FLOOR, 10 TEMPLE BACK, BRISTOL, UNITED KINGDOM, BS1 6FL</x:v>
      </x:c>
      <x:c r="W743" s="63"/>
      <x:c r="X743" s="65" t="n">
        <x:f>TODAY()</x:f>
        <x:v>46250</x:v>
      </x:c>
    </x:row>
    <x:row r="744">
      <x:c r="A744" s="59" t="str">
        <x:v>WELMAN</x:v>
      </x:c>
      <x:c r="B744" s="60" t="str">
        <x:v>EDWIN</x:v>
      </x:c>
      <x:c r="C744" s="60" t="str">
        <x:v>JAN</x:v>
      </x:c>
      <x:c r="D744" s="61" t="n">
        <x:v>24622.5</x:v>
      </x:c>
      <x:c r="E744" s="62" t="n">
        <x:f>IF(OR(D744="",X744=""),"",IFERROR(DATEDIF(D744,X744,"y"),""))</x:f>
        <x:v>59</x:v>
      </x:c>
      <x:c r="F744" s="60"/>
      <x:c r="G744" s="63"/>
      <x:c r="H744" s="63"/>
      <x:c r="I744" s="61"/>
      <x:c r="J744" s="64" t="str">
        <x:f>IF(OR(I744="",X744=""),"",IFERROR(DATEDIF(I744,X744,"m")/12,""))</x:f>
      </x:c>
      <x:c r="K744" s="60" t="str">
        <x:v>18H LANCASTER GATE, LONDON, W2 3LH</x:v>
      </x:c>
      <x:c r="L744" s="60" t="str">
        <x:v> W2 3LH</x:v>
      </x:c>
      <x:c r="M744" s="60"/>
      <x:c r="N744" s="60" t="str">
        <x:v>W2 3LH</x:v>
      </x:c>
      <x:c r="O744" s="61"/>
      <x:c r="P744" s="64" t="str">
        <x:f>IF(OR(O744="",I744=""),"",IFERROR(DATEDIF(O744,I744,"m")/12,""))</x:f>
      </x:c>
      <x:c r="Q744" s="60"/>
      <x:c r="R744" s="61"/>
      <x:c r="S744" s="64" t="str">
        <x:f>IF(OR(R744="",X744=""),"",IFERROR(DATEDIF(R744,X744,"m")/12,""))</x:f>
      </x:c>
      <x:c r="T744" s="60"/>
      <x:c r="U744" s="60"/>
      <x:c r="V744" s="60"/>
      <x:c r="W744" s="63"/>
      <x:c r="X744" s="65" t="n">
        <x:f>TODAY()</x:f>
        <x:v>46250</x:v>
      </x:c>
    </x:row>
    <x:row r="745">
      <x:c r="A745" s="59" t="str">
        <x:v>WEST</x:v>
      </x:c>
      <x:c r="B745" s="60" t="str">
        <x:v>AARON</x:v>
      </x:c>
      <x:c r="C745" s="60"/>
      <x:c r="D745" s="61" t="n">
        <x:v>35198.5</x:v>
      </x:c>
      <x:c r="E745" s="62" t="n">
        <x:f>IF(OR(D745="",X745=""),"",IFERROR(DATEDIF(D745,X745,"y"),""))</x:f>
        <x:v>30</x:v>
      </x:c>
      <x:c r="F745" s="60" t="str">
        <x:v>SHOTBOLT</x:v>
      </x:c>
      <x:c r="G745" s="63" t="str">
        <x:v>07425181155</x:v>
      </x:c>
      <x:c r="H745" s="63" t="str">
        <x:v>PA973273B</x:v>
      </x:c>
      <x:c r="I745" s="61" t="n">
        <x:v>44317.5</x:v>
      </x:c>
      <x:c r="J745" s="64" t="n">
        <x:f>IF(OR(I745="",X745=""),"",IFERROR(DATEDIF(I745,X745,"m")/12,""))</x:f>
        <x:v>5.25</x:v>
      </x:c>
      <x:c r="K745" s="60" t="str">
        <x:v>FLAT 14, 59 BONDWAY, LONDON, SW8 1SJ</x:v>
      </x:c>
      <x:c r="L745" s="60" t="str">
        <x:v> SW8 1SJ</x:v>
      </x:c>
      <x:c r="M745" s="60"/>
      <x:c r="N745" s="60" t="str">
        <x:v>SW8 1SJ</x:v>
      </x:c>
      <x:c r="O745" s="61" t="n">
        <x:v>43525.5</x:v>
      </x:c>
      <x:c r="P745" s="64" t="n">
        <x:f>IF(OR(O745="",I745=""),"",IFERROR(DATEDIF(O745,I745,"m")/12,""))</x:f>
        <x:v>2.1666666666666665</x:v>
      </x:c>
      <x:c r="Q745" s="60" t="str">
        <x:v>109 BRONDESBURY VILLAS, NW6 6AG</x:v>
      </x:c>
      <x:c r="R745" s="61" t="n">
        <x:v>44713.5</x:v>
      </x:c>
      <x:c r="S745" s="64" t="n">
        <x:f>IF(OR(R745="",X745=""),"",IFERROR(DATEDIF(R745,X745,"m")/12,""))</x:f>
        <x:v>4.166666666666667</x:v>
      </x:c>
      <x:c r="T745" s="60" t="str">
        <x:v>SENIOR SMARTPHONE ANALYST</x:v>
      </x:c>
      <x:c r="U745" s="60" t="str">
        <x:v>OMDIA</x:v>
      </x:c>
      <x:c r="V745" s="60" t="str">
        <x:v>BLUE FIN BUILDING THIRD FLOOR, 110 SOUTWARK STREET , LONDON, SE1 0TA, GB</x:v>
      </x:c>
      <x:c r="W745" s="63" t="str">
        <x:v>0207 202 8502</x:v>
      </x:c>
      <x:c r="X745" s="65" t="n">
        <x:f>TODAY()</x:f>
        <x:v>46250</x:v>
      </x:c>
    </x:row>
    <x:row r="746">
      <x:c r="A746" s="59" t="str">
        <x:v>WILKINS</x:v>
      </x:c>
      <x:c r="B746" s="60" t="str">
        <x:v>JAMES</x:v>
      </x:c>
      <x:c r="C746" s="60" t="str">
        <x:v>SIMON ROBERT</x:v>
      </x:c>
      <x:c r="D746" s="61" t="n">
        <x:v>22691.5</x:v>
      </x:c>
      <x:c r="E746" s="62" t="n">
        <x:f>IF(OR(D746="",X746=""),"",IFERROR(DATEDIF(D746,X746,"y"),""))</x:f>
        <x:v>64</x:v>
      </x:c>
      <x:c r="F746" s="60" t="str">
        <x:v>DAVIDSON</x:v>
      </x:c>
      <x:c r="G746" s="63" t="str">
        <x:v>‭07471 674321‬</x:v>
      </x:c>
      <x:c r="H746" s="63"/>
      <x:c r="I746" s="61" t="n">
        <x:v>42248.5</x:v>
      </x:c>
      <x:c r="J746" s="64" t="n">
        <x:f>IF(OR(I746="",X746=""),"",IFERROR(DATEDIF(I746,X746,"m")/12,""))</x:f>
        <x:v>10.916666666666666</x:v>
      </x:c>
      <x:c r="K746" s="60" t="str">
        <x:v>FLAT 1, 39 DRAYCOTT PLACE, LONDON, SW3 2SH</x:v>
      </x:c>
      <x:c r="L746" s="60" t="str">
        <x:v> SW3 2SH</x:v>
      </x:c>
      <x:c r="M746" s="60"/>
      <x:c r="N746" s="60" t="str">
        <x:v>SW3 2SH</x:v>
      </x:c>
      <x:c r="O746" s="61"/>
      <x:c r="P746" s="64" t="str">
        <x:f>IF(OR(O746="",I746=""),"",IFERROR(DATEDIF(O746,I746,"m")/12,""))</x:f>
      </x:c>
      <x:c r="Q746" s="60"/>
      <x:c r="R746" s="61"/>
      <x:c r="S746" s="64" t="str">
        <x:f>IF(OR(R746="",X746=""),"",IFERROR(DATEDIF(R746,X746,"m")/12,""))</x:f>
      </x:c>
      <x:c r="T746" s="60"/>
      <x:c r="U746" s="60"/>
      <x:c r="V746" s="60"/>
      <x:c r="W746" s="63"/>
      <x:c r="X746" s="65" t="n">
        <x:f>TODAY()</x:f>
        <x:v>46250</x:v>
      </x:c>
    </x:row>
    <x:row r="747">
      <x:c r="A747" s="59" t="str">
        <x:v>WILKINS</x:v>
      </x:c>
      <x:c r="B747" s="60" t="str">
        <x:v>COSIMA</x:v>
      </x:c>
      <x:c r="C747" s="60" t="str">
        <x:v>CLOVER</x:v>
      </x:c>
      <x:c r="D747" s="61" t="n">
        <x:v>37084.5</x:v>
      </x:c>
      <x:c r="E747" s="62" t="n">
        <x:f>IF(OR(D747="",X747=""),"",IFERROR(DATEDIF(D747,X747,"y"),""))</x:f>
        <x:v>25</x:v>
      </x:c>
      <x:c r="F747" s="60" t="str">
        <x:v>BRASSEY</x:v>
      </x:c>
      <x:c r="G747" s="63"/>
      <x:c r="H747" s="63"/>
      <x:c r="I747" s="61"/>
      <x:c r="J747" s="64" t="str">
        <x:f>IF(OR(I747="",X747=""),"",IFERROR(DATEDIF(I747,X747,"m")/12,""))</x:f>
      </x:c>
      <x:c r="K747" s="60" t="str">
        <x:v>FLAT 1-12, 292-294 FULHAM ROAD, LONDON\, SW10 9EW</x:v>
      </x:c>
      <x:c r="L747" s="60"/>
      <x:c r="M747" s="60"/>
      <x:c r="N747" s="60"/>
      <x:c r="O747" s="61"/>
      <x:c r="P747" s="64" t="str">
        <x:f>IF(OR(O747="",I747=""),"",IFERROR(DATEDIF(O747,I747,"m")/12,""))</x:f>
      </x:c>
      <x:c r="Q747" s="60"/>
      <x:c r="R747" s="61"/>
      <x:c r="S747" s="64" t="str">
        <x:f>IF(OR(R747="",X747=""),"",IFERROR(DATEDIF(R747,X747,"m")/12,""))</x:f>
      </x:c>
      <x:c r="T747" s="60"/>
      <x:c r="U747" s="60"/>
      <x:c r="V747" s="60"/>
      <x:c r="W747" s="63"/>
      <x:c r="X747" s="65" t="n">
        <x:f>TODAY()</x:f>
        <x:v>46250</x:v>
      </x:c>
    </x:row>
    <x:row r="748">
      <x:c r="A748" s="59" t="str">
        <x:v>WILLIAMS</x:v>
      </x:c>
      <x:c r="B748" s="60" t="str">
        <x:v>NICHOLAS</x:v>
      </x:c>
      <x:c r="C748" s="60" t="str">
        <x:v>DERICK</x:v>
      </x:c>
      <x:c r="D748" s="61" t="n">
        <x:v>34790.5</x:v>
      </x:c>
      <x:c r="E748" s="62" t="n">
        <x:f>IF(OR(D748="",X748=""),"",IFERROR(DATEDIF(D748,X748,"y"),""))</x:f>
        <x:v>31</x:v>
      </x:c>
      <x:c r="F748" s="60"/>
      <x:c r="G748" s="63"/>
      <x:c r="H748" s="63"/>
      <x:c r="I748" s="61"/>
      <x:c r="J748" s="64" t="str">
        <x:f>IF(OR(I748="",X748=""),"",IFERROR(DATEDIF(I748,X748,"m")/12,""))</x:f>
      </x:c>
      <x:c r="K748" s="60" t="str">
        <x:v>FLAT 6, 7 CAVENDISH ROAD, LONDON, NW6 7XT</x:v>
      </x:c>
      <x:c r="L748" s="60" t="str">
        <x:v> NW6 7XT</x:v>
      </x:c>
      <x:c r="M748" s="60"/>
      <x:c r="N748" s="60" t="str">
        <x:v>NW6 7XT</x:v>
      </x:c>
      <x:c r="O748" s="61"/>
      <x:c r="P748" s="64" t="str">
        <x:f>IF(OR(O748="",I748=""),"",IFERROR(DATEDIF(O748,I748,"m")/12,""))</x:f>
      </x:c>
      <x:c r="Q748" s="60"/>
      <x:c r="R748" s="61"/>
      <x:c r="S748" s="64" t="str">
        <x:f>IF(OR(R748="",X748=""),"",IFERROR(DATEDIF(R748,X748,"m")/12,""))</x:f>
      </x:c>
      <x:c r="T748" s="60"/>
      <x:c r="U748" s="60"/>
      <x:c r="V748" s="60"/>
      <x:c r="W748" s="63"/>
      <x:c r="X748" s="65" t="n">
        <x:f>TODAY()</x:f>
        <x:v>46250</x:v>
      </x:c>
    </x:row>
    <x:row r="749">
      <x:c r="A749" s="59" t="str">
        <x:v>WILLIAMS</x:v>
      </x:c>
      <x:c r="B749" s="60" t="str">
        <x:v>CHARLENE</x:v>
      </x:c>
      <x:c r="C749" s="60"/>
      <x:c r="D749" s="61"/>
      <x:c r="E749" s="62" t="str">
        <x:f>IF(OR(D749="",X749=""),"",IFERROR(DATEDIF(D749,X749,"y"),""))</x:f>
      </x:c>
      <x:c r="F749" s="60"/>
      <x:c r="G749" s="63"/>
      <x:c r="H749" s="63"/>
      <x:c r="I749" s="61"/>
      <x:c r="J749" s="64" t="str">
        <x:f>IF(OR(I749="",X749=""),"",IFERROR(DATEDIF(I749,X749,"m")/12,""))</x:f>
      </x:c>
      <x:c r="K749" s="60" t="str">
        <x:v>LOWER GROUND FLAT, 16 SPRING STREET , LONDON, W2 3RA</x:v>
      </x:c>
      <x:c r="L749" s="60" t="str">
        <x:v> W2 3RA</x:v>
      </x:c>
      <x:c r="M749" s="60"/>
      <x:c r="N749" s="60" t="str">
        <x:v>W2 3RA</x:v>
      </x:c>
      <x:c r="O749" s="61"/>
      <x:c r="P749" s="64" t="str">
        <x:f>IF(OR(O749="",I749=""),"",IFERROR(DATEDIF(O749,I749,"m")/12,""))</x:f>
      </x:c>
      <x:c r="Q749" s="60"/>
      <x:c r="R749" s="61"/>
      <x:c r="S749" s="64" t="str">
        <x:f>IF(OR(R749="",X749=""),"",IFERROR(DATEDIF(R749,X749,"m")/12,""))</x:f>
      </x:c>
      <x:c r="T749" s="60"/>
      <x:c r="U749" s="60"/>
      <x:c r="V749" s="60"/>
      <x:c r="W749" s="63"/>
      <x:c r="X749" s="65" t="n">
        <x:f>TODAY()</x:f>
        <x:v>46250</x:v>
      </x:c>
    </x:row>
    <x:row r="750">
      <x:c r="A750" s="59" t="str">
        <x:v>WINAND</x:v>
      </x:c>
      <x:c r="B750" s="60" t="str">
        <x:v>PIERRE</x:v>
      </x:c>
      <x:c r="C750" s="60" t="str">
        <x:v>NICHOLAS SIMON</x:v>
      </x:c>
      <x:c r="D750" s="61" t="n">
        <x:v>24239.5</x:v>
      </x:c>
      <x:c r="E750" s="62" t="n">
        <x:f>IF(OR(D750="",X750=""),"",IFERROR(DATEDIF(D750,X750,"y"),""))</x:f>
        <x:v>60</x:v>
      </x:c>
      <x:c r="F750" s="60"/>
      <x:c r="G750" s="63" t="str">
        <x:v>07407862041</x:v>
      </x:c>
      <x:c r="H750" s="63"/>
      <x:c r="I750" s="61" t="n">
        <x:v>43831.5</x:v>
      </x:c>
      <x:c r="J750" s="64" t="n">
        <x:f>IF(OR(I750="",X750=""),"",IFERROR(DATEDIF(I750,X750,"m")/12,""))</x:f>
        <x:v>6.583333333333333</x:v>
      </x:c>
      <x:c r="K750" s="60" t="str">
        <x:v>FLAT 2, 52 QUEEN'S GATE GARDENS, LONDON, SW75NF</x:v>
      </x:c>
      <x:c r="L750" s="60" t="str">
        <x:v> SW75NF</x:v>
      </x:c>
      <x:c r="M750" s="60"/>
      <x:c r="N750" s="60" t="str">
        <x:v>SW75NF</x:v>
      </x:c>
      <x:c r="O750" s="61"/>
      <x:c r="P750" s="64" t="str">
        <x:f>IF(OR(O750="",I750=""),"",IFERROR(DATEDIF(O750,I750,"m")/12,""))</x:f>
      </x:c>
      <x:c r="Q750" s="60"/>
      <x:c r="R750" s="61" t="n">
        <x:v>43831.5</x:v>
      </x:c>
      <x:c r="S750" s="64" t="n">
        <x:f>IF(OR(R750="",X750=""),"",IFERROR(DATEDIF(R750,X750,"m")/12,""))</x:f>
        <x:v>6.583333333333333</x:v>
      </x:c>
      <x:c r="T750" s="60" t="str">
        <x:v>CFO</x:v>
      </x:c>
      <x:c r="U750" s="60" t="str">
        <x:v>THERAMEX</x:v>
      </x:c>
      <x:c r="V750" s="60" t="str">
        <x:v>SLOANE SQUARE HOUSE, 1 HOLBEIN PLACE, LONDON SW1W 8NS</x:v>
      </x:c>
      <x:c r="W750" s="63" t="str">
        <x:v>03330096795</x:v>
      </x:c>
      <x:c r="X750" s="65" t="n">
        <x:f>TODAY()</x:f>
        <x:v>46250</x:v>
      </x:c>
    </x:row>
    <x:row r="751">
      <x:c r="A751" s="59" t="str">
        <x:v>WISEMAN</x:v>
      </x:c>
      <x:c r="B751" s="60" t="str">
        <x:v>HUGO</x:v>
      </x:c>
      <x:c r="C751" s="60" t="str">
        <x:v>RODERICK CLIVE</x:v>
      </x:c>
      <x:c r="D751" s="61"/>
      <x:c r="E751" s="62" t="str">
        <x:f>IF(OR(D751="",X751=""),"",IFERROR(DATEDIF(D751,X751,"y"),""))</x:f>
      </x:c>
      <x:c r="F751" s="60" t="str">
        <x:v>DRURY</x:v>
      </x:c>
      <x:c r="G751" s="63"/>
      <x:c r="H751" s="63"/>
      <x:c r="I751" s="61" t="n">
        <x:v>41183.5</x:v>
      </x:c>
      <x:c r="J751" s="64" t="n">
        <x:f>IF(OR(I751="",X751=""),"",IFERROR(DATEDIF(I751,X751,"m")/12,""))</x:f>
        <x:v>13.833333333333334</x:v>
      </x:c>
      <x:c r="K751" s="60" t="str">
        <x:v>5 ASCOT HOUSE, 65 VENN STREET, LONDON, SW4 0BD</x:v>
      </x:c>
      <x:c r="L751" s="60" t="str">
        <x:v> SW4 0BD</x:v>
      </x:c>
      <x:c r="M751" s="60"/>
      <x:c r="N751" s="60" t="str">
        <x:v>SW4 0BD</x:v>
      </x:c>
      <x:c r="O751" s="61" t="n">
        <x:v>37742.5</x:v>
      </x:c>
      <x:c r="P751" s="64" t="n">
        <x:f>IF(OR(O751="",I751=""),"",IFERROR(DATEDIF(O751,I751,"m")/12,""))</x:f>
        <x:v>9.416666666666666</x:v>
      </x:c>
      <x:c r="Q751" s="60"/>
      <x:c r="R751" s="61"/>
      <x:c r="S751" s="64" t="str">
        <x:f>IF(OR(R751="",X751=""),"",IFERROR(DATEDIF(R751,X751,"m")/12,""))</x:f>
      </x:c>
      <x:c r="T751" s="60"/>
      <x:c r="U751" s="60"/>
      <x:c r="V751" s="60"/>
      <x:c r="W751" s="63"/>
      <x:c r="X751" s="65" t="n">
        <x:f>TODAY()</x:f>
        <x:v>46250</x:v>
      </x:c>
    </x:row>
    <x:row r="752">
      <x:c r="A752" s="59" t="str">
        <x:v>WOOD</x:v>
      </x:c>
      <x:c r="B752" s="60" t="str">
        <x:v>JONATHAN</x:v>
      </x:c>
      <x:c r="C752" s="60" t="str">
        <x:v>PETER</x:v>
      </x:c>
      <x:c r="D752" s="61" t="n">
        <x:v>32335.5</x:v>
      </x:c>
      <x:c r="E752" s="62" t="n">
        <x:f>IF(OR(D752="",X752=""),"",IFERROR(DATEDIF(D752,X752,"y"),""))</x:f>
        <x:v>38</x:v>
      </x:c>
      <x:c r="F752" s="60" t="str">
        <x:v>COSWAY</x:v>
      </x:c>
      <x:c r="G752" s="63"/>
      <x:c r="H752" s="63"/>
      <x:c r="I752" s="61"/>
      <x:c r="J752" s="64" t="str">
        <x:f>IF(OR(I752="",X752=""),"",IFERROR(DATEDIF(I752,X752,"m")/12,""))</x:f>
      </x:c>
      <x:c r="K752" s="60"/>
      <x:c r="L752" s="60"/>
      <x:c r="M752" s="60"/>
      <x:c r="N752" s="60"/>
      <x:c r="O752" s="61"/>
      <x:c r="P752" s="64" t="str">
        <x:f>IF(OR(O752="",I752=""),"",IFERROR(DATEDIF(O752,I752,"m")/12,""))</x:f>
      </x:c>
      <x:c r="Q752" s="60"/>
      <x:c r="R752" s="61"/>
      <x:c r="S752" s="64" t="str">
        <x:f>IF(OR(R752="",X752=""),"",IFERROR(DATEDIF(R752,X752,"m")/12,""))</x:f>
      </x:c>
      <x:c r="T752" s="60"/>
      <x:c r="U752" s="60"/>
      <x:c r="V752" s="60"/>
      <x:c r="W752" s="63"/>
      <x:c r="X752" s="65" t="n">
        <x:f>TODAY()</x:f>
        <x:v>46250</x:v>
      </x:c>
    </x:row>
    <x:row r="753">
      <x:c r="A753" s="59" t="str">
        <x:v>WOOD</x:v>
      </x:c>
      <x:c r="B753" s="60" t="str">
        <x:v>VICTORIA</x:v>
      </x:c>
      <x:c r="C753" s="60" t="str">
        <x:v>HELEN</x:v>
      </x:c>
      <x:c r="D753" s="61" t="n">
        <x:v>31099.5</x:v>
      </x:c>
      <x:c r="E753" s="62" t="n">
        <x:f>IF(OR(D753="",X753=""),"",IFERROR(DATEDIF(D753,X753,"y"),""))</x:f>
        <x:v>41</x:v>
      </x:c>
      <x:c r="F753" s="60" t="str">
        <x:v>TURNER</x:v>
      </x:c>
      <x:c r="G753" s="63"/>
      <x:c r="H753" s="63"/>
      <x:c r="I753" s="61" t="n">
        <x:v>43191.5</x:v>
      </x:c>
      <x:c r="J753" s="64" t="n">
        <x:f>IF(OR(I753="",X753=""),"",IFERROR(DATEDIF(I753,X753,"m")/12,""))</x:f>
        <x:v>8.333333333333334</x:v>
      </x:c>
      <x:c r="K753" s="60" t="str">
        <x:v>FLAT 9, 59 BONDWAY, LONDON SW8 1SJ</x:v>
      </x:c>
      <x:c r="L753" s="60"/>
      <x:c r="M753" s="60"/>
      <x:c r="N753" s="60"/>
      <x:c r="O753" s="61" t="n">
        <x:v>42309.5</x:v>
      </x:c>
      <x:c r="P753" s="64" t="n">
        <x:f>IF(OR(O753="",I753=""),"",IFERROR(DATEDIF(O753,I753,"m")/12,""))</x:f>
        <x:v>2.4166666666666665</x:v>
      </x:c>
      <x:c r="Q753" s="60" t="str">
        <x:v>57, WINGATE SQUARE, LONDON, SW4 0AF</x:v>
      </x:c>
      <x:c r="R753" s="61"/>
      <x:c r="S753" s="64" t="str">
        <x:f>IF(OR(R753="",X753=""),"",IFERROR(DATEDIF(R753,X753,"m")/12,""))</x:f>
      </x:c>
      <x:c r="T753" s="60"/>
      <x:c r="U753" s="60"/>
      <x:c r="V753" s="60"/>
      <x:c r="W753" s="63"/>
      <x:c r="X753" s="65" t="n">
        <x:f>TODAY()</x:f>
        <x:v>46250</x:v>
      </x:c>
    </x:row>
    <x:row r="754">
      <x:c r="A754" s="59" t="str">
        <x:v>WRIGHT</x:v>
      </x:c>
      <x:c r="B754" s="60" t="str">
        <x:v>LEWIS</x:v>
      </x:c>
      <x:c r="C754" s="60" t="str">
        <x:v>JAMES</x:v>
      </x:c>
      <x:c r="D754" s="61" t="n">
        <x:v>33435.5</x:v>
      </x:c>
      <x:c r="E754" s="62" t="n">
        <x:f>IF(OR(D754="",X754=""),"",IFERROR(DATEDIF(D754,X754,"y"),""))</x:f>
        <x:v>35</x:v>
      </x:c>
      <x:c r="F754" s="60" t="str">
        <x:v>NURTON</x:v>
      </x:c>
      <x:c r="G754" s="63"/>
      <x:c r="H754" s="63"/>
      <x:c r="I754" s="61"/>
      <x:c r="J754" s="64" t="str">
        <x:f>IF(OR(I754="",X754=""),"",IFERROR(DATEDIF(I754,X754,"m")/12,""))</x:f>
      </x:c>
      <x:c r="K754" s="60"/>
      <x:c r="L754" s="60"/>
      <x:c r="M754" s="60"/>
      <x:c r="N754" s="60"/>
      <x:c r="O754" s="61"/>
      <x:c r="P754" s="64" t="str">
        <x:f>IF(OR(O754="",I754=""),"",IFERROR(DATEDIF(O754,I754,"m")/12,""))</x:f>
      </x:c>
      <x:c r="Q754" s="60"/>
      <x:c r="R754" s="61"/>
      <x:c r="S754" s="64" t="str">
        <x:f>IF(OR(R754="",X754=""),"",IFERROR(DATEDIF(R754,X754,"m")/12,""))</x:f>
      </x:c>
      <x:c r="T754" s="60"/>
      <x:c r="U754" s="60"/>
      <x:c r="V754" s="60"/>
      <x:c r="W754" s="63"/>
      <x:c r="X754" s="65" t="n">
        <x:f>TODAY()</x:f>
        <x:v>46250</x:v>
      </x:c>
    </x:row>
    <x:row r="755">
      <x:c r="A755" s="59" t="str">
        <x:v>X</x:v>
      </x:c>
      <x:c r="B755" s="60"/>
      <x:c r="C755" s="60"/>
      <x:c r="D755" s="61"/>
      <x:c r="E755" s="62" t="str">
        <x:f>IF(OR(D755="",X755=""),"",IFERROR(DATEDIF(D755,X755,"y"),""))</x:f>
      </x:c>
      <x:c r="F755" s="60"/>
      <x:c r="G755" s="63"/>
      <x:c r="H755" s="63"/>
      <x:c r="I755" s="61"/>
      <x:c r="J755" s="64" t="str">
        <x:f>IF(OR(I755="",X755=""),"",IFERROR(DATEDIF(I755,X755,"m")/12,""))</x:f>
      </x:c>
      <x:c r="K755" s="60"/>
      <x:c r="L755" s="60"/>
      <x:c r="M755" s="60"/>
      <x:c r="N755" s="60"/>
      <x:c r="O755" s="61"/>
      <x:c r="P755" s="64" t="str">
        <x:f>IF(OR(O755="",I755=""),"",IFERROR(DATEDIF(O755,I755,"m")/12,""))</x:f>
      </x:c>
      <x:c r="Q755" s="60"/>
      <x:c r="R755" s="61"/>
      <x:c r="S755" s="64" t="str">
        <x:f>IF(OR(R755="",X755=""),"",IFERROR(DATEDIF(R755,X755,"m")/12,""))</x:f>
      </x:c>
      <x:c r="T755" s="60"/>
      <x:c r="U755" s="60"/>
      <x:c r="V755" s="60"/>
      <x:c r="W755" s="63"/>
      <x:c r="X755" s="65" t="n">
        <x:f>TODAY()</x:f>
        <x:v>46250</x:v>
      </x:c>
    </x:row>
    <x:row r="756">
      <x:c r="A756" s="59" t="str">
        <x:v>Y</x:v>
      </x:c>
      <x:c r="B756" s="60"/>
      <x:c r="C756" s="60"/>
      <x:c r="D756" s="61"/>
      <x:c r="E756" s="62" t="str">
        <x:f>IF(OR(D756="",X756=""),"",IFERROR(DATEDIF(D756,X756,"y"),""))</x:f>
      </x:c>
      <x:c r="F756" s="60"/>
      <x:c r="G756" s="63"/>
      <x:c r="H756" s="63"/>
      <x:c r="I756" s="61"/>
      <x:c r="J756" s="64" t="str">
        <x:f>IF(OR(I756="",X756=""),"",IFERROR(DATEDIF(I756,X756,"m")/12,""))</x:f>
      </x:c>
      <x:c r="K756" s="60"/>
      <x:c r="L756" s="60"/>
      <x:c r="M756" s="60"/>
      <x:c r="N756" s="60"/>
      <x:c r="O756" s="61"/>
      <x:c r="P756" s="64" t="str">
        <x:f>IF(OR(O756="",I756=""),"",IFERROR(DATEDIF(O756,I756,"m")/12,""))</x:f>
      </x:c>
      <x:c r="Q756" s="60"/>
      <x:c r="R756" s="61"/>
      <x:c r="S756" s="64" t="str">
        <x:f>IF(OR(R756="",X756=""),"",IFERROR(DATEDIF(R756,X756,"m")/12,""))</x:f>
      </x:c>
      <x:c r="T756" s="60"/>
      <x:c r="U756" s="60"/>
      <x:c r="V756" s="60"/>
      <x:c r="W756" s="63"/>
      <x:c r="X756" s="65" t="n">
        <x:f>TODAY()</x:f>
        <x:v>46250</x:v>
      </x:c>
    </x:row>
    <x:row r="757">
      <x:c r="A757" s="59" t="str">
        <x:v>YANG</x:v>
      </x:c>
      <x:c r="B757" s="60" t="str">
        <x:v>FEIYANG</x:v>
      </x:c>
      <x:c r="C757" s="60"/>
      <x:c r="D757" s="61" t="n">
        <x:v>34011.5</x:v>
      </x:c>
      <x:c r="E757" s="62" t="n">
        <x:f>IF(OR(D757="",X757=""),"",IFERROR(DATEDIF(D757,X757,"y"),""))</x:f>
        <x:v>33</x:v>
      </x:c>
      <x:c r="F757" s="60" t="str">
        <x:v>FEIYANG</x:v>
      </x:c>
      <x:c r="G757" s="63"/>
      <x:c r="H757" s="63"/>
      <x:c r="I757" s="61" t="n">
        <x:v>42248.5</x:v>
      </x:c>
      <x:c r="J757" s="64" t="n">
        <x:f>IF(OR(I757="",X757=""),"",IFERROR(DATEDIF(I757,X757,"m")/12,""))</x:f>
        <x:v>10.916666666666666</x:v>
      </x:c>
      <x:c r="K757" s="60" t="str">
        <x:v>13 PORCHESTER COURT, 18 PORCHESTER GARDENS, LONDON, W2 4DF</x:v>
      </x:c>
      <x:c r="L757" s="60" t="str">
        <x:v> W2 4DF</x:v>
      </x:c>
      <x:c r="M757" s="60"/>
      <x:c r="N757" s="60" t="str">
        <x:v>W2 4DF</x:v>
      </x:c>
      <x:c r="O757" s="61"/>
      <x:c r="P757" s="64" t="str">
        <x:f>IF(OR(O757="",I757=""),"",IFERROR(DATEDIF(O757,I757,"m")/12,""))</x:f>
      </x:c>
      <x:c r="Q757" s="60"/>
      <x:c r="R757" s="61"/>
      <x:c r="S757" s="64" t="str">
        <x:f>IF(OR(R757="",X757=""),"",IFERROR(DATEDIF(R757,X757,"m")/12,""))</x:f>
      </x:c>
      <x:c r="T757" s="60"/>
      <x:c r="U757" s="60"/>
      <x:c r="V757" s="60"/>
      <x:c r="W757" s="63"/>
      <x:c r="X757" s="65" t="n">
        <x:f>TODAY()</x:f>
        <x:v>46250</x:v>
      </x:c>
    </x:row>
    <x:row r="758">
      <x:c r="A758" s="59" t="str">
        <x:v>YASHAR</x:v>
      </x:c>
      <x:c r="B758" s="60" t="str">
        <x:v>BINNAS</x:v>
      </x:c>
      <x:c r="C758" s="60" t="str">
        <x:v>ELIMOVA</x:v>
      </x:c>
      <x:c r="D758" s="61" t="n">
        <x:v>33949.5</x:v>
      </x:c>
      <x:c r="E758" s="62" t="n">
        <x:f>IF(OR(D758="",X758=""),"",IFERROR(DATEDIF(D758,X758,"y"),""))</x:f>
        <x:v>33</x:v>
      </x:c>
      <x:c r="F758" s="60"/>
      <x:c r="G758" s="63"/>
      <x:c r="H758" s="63" t="str">
        <x:v>ST625161B</x:v>
      </x:c>
      <x:c r="I758" s="61"/>
      <x:c r="J758" s="64" t="str">
        <x:f>IF(OR(I758="",X758=""),"",IFERROR(DATEDIF(I758,X758,"m")/12,""))</x:f>
      </x:c>
      <x:c r="K758" s="60" t="str">
        <x:v>29 CORNWALL GARDENS LONDON, SW7 4AP</x:v>
      </x:c>
      <x:c r="L758" s="60" t="str">
        <x:v> SW7 4AP</x:v>
      </x:c>
      <x:c r="M758" s="60"/>
      <x:c r="N758" s="60" t="str">
        <x:v>SW7 4AP</x:v>
      </x:c>
      <x:c r="O758" s="61"/>
      <x:c r="P758" s="64" t="str">
        <x:f>IF(OR(O758="",I758=""),"",IFERROR(DATEDIF(O758,I758,"m")/12,""))</x:f>
      </x:c>
      <x:c r="Q758" s="60"/>
      <x:c r="R758" s="61"/>
      <x:c r="S758" s="64" t="str">
        <x:f>IF(OR(R758="",X758=""),"",IFERROR(DATEDIF(R758,X758,"m")/12,""))</x:f>
      </x:c>
      <x:c r="T758" s="60"/>
      <x:c r="U758" s="60"/>
      <x:c r="V758" s="60"/>
      <x:c r="W758" s="63"/>
      <x:c r="X758" s="65" t="n">
        <x:f>TODAY()</x:f>
        <x:v>46250</x:v>
      </x:c>
    </x:row>
    <x:row r="759">
      <x:c r="A759" s="59" t="str">
        <x:v>YILMAZ</x:v>
      </x:c>
      <x:c r="B759" s="60" t="str">
        <x:v>ARIF</x:v>
      </x:c>
      <x:c r="C759" s="60"/>
      <x:c r="D759" s="61" t="n">
        <x:v>24532.5</x:v>
      </x:c>
      <x:c r="E759" s="62" t="n">
        <x:f>IF(OR(D759="",X759=""),"",IFERROR(DATEDIF(D759,X759,"y"),""))</x:f>
        <x:v>59</x:v>
      </x:c>
      <x:c r="F759" s="60"/>
      <x:c r="G759" s="63"/>
      <x:c r="H759" s="63"/>
      <x:c r="I759" s="61"/>
      <x:c r="J759" s="64" t="str">
        <x:f>IF(OR(I759="",X759=""),"",IFERROR(DATEDIF(I759,X759,"m")/12,""))</x:f>
      </x:c>
      <x:c r="K759" s="60" t="str">
        <x:v>23 HARWOOD ROAD LONDON , SW6 4QP</x:v>
      </x:c>
      <x:c r="L759" s="60"/>
      <x:c r="M759" s="60"/>
      <x:c r="N759" s="60"/>
      <x:c r="O759" s="61"/>
      <x:c r="P759" s="64" t="str">
        <x:f>IF(OR(O759="",I759=""),"",IFERROR(DATEDIF(O759,I759,"m")/12,""))</x:f>
      </x:c>
      <x:c r="Q759" s="60"/>
      <x:c r="R759" s="61"/>
      <x:c r="S759" s="64" t="str">
        <x:f>IF(OR(R759="",X759=""),"",IFERROR(DATEDIF(R759,X759,"m")/12,""))</x:f>
      </x:c>
      <x:c r="T759" s="60"/>
      <x:c r="U759" s="60"/>
      <x:c r="V759" s="60"/>
      <x:c r="W759" s="63"/>
      <x:c r="X759" s="65" t="n">
        <x:f>TODAY()</x:f>
        <x:v>46250</x:v>
      </x:c>
    </x:row>
    <x:row r="760">
      <x:c r="A760" s="59" t="str">
        <x:v>YOGADEVA</x:v>
      </x:c>
      <x:c r="B760" s="60" t="str">
        <x:v>ARANI</x:v>
      </x:c>
      <x:c r="C760" s="60"/>
      <x:c r="D760" s="61" t="n">
        <x:v>27612.5</x:v>
      </x:c>
      <x:c r="E760" s="62" t="n">
        <x:f>IF(OR(D760="",X760=""),"",IFERROR(DATEDIF(D760,X760,"y"),""))</x:f>
        <x:v>51</x:v>
      </x:c>
      <x:c r="F760" s="60"/>
      <x:c r="G760" s="63"/>
      <x:c r="H760" s="63"/>
      <x:c r="I760" s="61" t="n">
        <x:v>38565.5</x:v>
      </x:c>
      <x:c r="J760" s="64" t="n">
        <x:f>IF(OR(I760="",X760=""),"",IFERROR(DATEDIF(I760,X760,"m")/12,""))</x:f>
        <x:v>21</x:v>
      </x:c>
      <x:c r="K760" s="60" t="str">
        <x:v>FLAT 31, 115 WESTBOURNE TERRACE, LONDON,W2 6QT</x:v>
      </x:c>
      <x:c r="L760" s="60" t="str">
        <x:v>W2 6QT</x:v>
      </x:c>
      <x:c r="M760" s="60"/>
      <x:c r="N760" s="60" t="str">
        <x:v>W2 6QT</x:v>
      </x:c>
      <x:c r="O760" s="61" t="n">
        <x:v>37742.5</x:v>
      </x:c>
      <x:c r="P760" s="64" t="n">
        <x:f>IF(OR(O760="",I760=""),"",IFERROR(DATEDIF(O760,I760,"m")/12,""))</x:f>
        <x:v>2.25</x:v>
      </x:c>
      <x:c r="Q760" s="60" t="str">
        <x:v>16, THE DELL, IG8 0QL</x:v>
      </x:c>
      <x:c r="R760" s="61" t="n">
        <x:v>43678.5</x:v>
      </x:c>
      <x:c r="S760" s="64" t="n">
        <x:f>IF(OR(R760="",X760=""),"",IFERROR(DATEDIF(R760,X760,"m")/12,""))</x:f>
        <x:v>7</x:v>
      </x:c>
      <x:c r="T760" s="60" t="str">
        <x:v>KNOWLEDGE LAWYER</x:v>
      </x:c>
      <x:c r="U760" s="60" t="str">
        <x:v>KENNEDYS MANAGEMENT SERVICES</x:v>
      </x:c>
      <x:c r="V760" s="60" t="str">
        <x:v>25 FENCHURCH STREET, LONDON, EC3M 3BY</x:v>
      </x:c>
      <x:c r="W760" s="63"/>
      <x:c r="X760" s="65" t="n">
        <x:f>TODAY()</x:f>
        <x:v>46250</x:v>
      </x:c>
    </x:row>
    <x:row r="761">
      <x:c r="A761" s="59" t="str">
        <x:v>YORKE</x:v>
      </x:c>
      <x:c r="B761" s="60" t="str">
        <x:v>CATHERINE</x:v>
      </x:c>
      <x:c r="C761" s="60" t="str">
        <x:v>ISOBEL</x:v>
      </x:c>
      <x:c r="D761" s="61" t="n">
        <x:v>21816.5</x:v>
      </x:c>
      <x:c r="E761" s="62" t="n">
        <x:f>IF(OR(D761="",X761=""),"",IFERROR(DATEDIF(D761,X761,"y"),""))</x:f>
        <x:v>66</x:v>
      </x:c>
      <x:c r="F761" s="60" t="str">
        <x:v>LLOYD</x:v>
      </x:c>
      <x:c r="G761" s="63"/>
      <x:c r="H761" s="63"/>
      <x:c r="I761" s="61"/>
      <x:c r="J761" s="64" t="str">
        <x:f>IF(OR(I761="",X761=""),"",IFERROR(DATEDIF(I761,X761,"m")/12,""))</x:f>
      </x:c>
      <x:c r="K761" s="60"/>
      <x:c r="L761" s="60"/>
      <x:c r="M761" s="60"/>
      <x:c r="N761" s="60"/>
      <x:c r="O761" s="61"/>
      <x:c r="P761" s="64" t="str">
        <x:f>IF(OR(O761="",I761=""),"",IFERROR(DATEDIF(O761,I761,"m")/12,""))</x:f>
      </x:c>
      <x:c r="Q761" s="60"/>
      <x:c r="R761" s="61"/>
      <x:c r="S761" s="64" t="str">
        <x:f>IF(OR(R761="",X761=""),"",IFERROR(DATEDIF(R761,X761,"m")/12,""))</x:f>
      </x:c>
      <x:c r="T761" s="60"/>
      <x:c r="U761" s="60"/>
      <x:c r="V761" s="60"/>
      <x:c r="W761" s="63"/>
      <x:c r="X761" s="65" t="n">
        <x:f>TODAY()</x:f>
        <x:v>46250</x:v>
      </x:c>
    </x:row>
    <x:row r="762">
      <x:c r="A762" s="59" t="str">
        <x:v>YORKE</x:v>
      </x:c>
      <x:c r="B762" s="60" t="str">
        <x:v>ROGER</x:v>
      </x:c>
      <x:c r="C762" s="60" t="str">
        <x:v>HOWARD</x:v>
      </x:c>
      <x:c r="D762" s="61" t="n">
        <x:v>21431.5</x:v>
      </x:c>
      <x:c r="E762" s="62" t="n">
        <x:f>IF(OR(D762="",X762=""),"",IFERROR(DATEDIF(D762,X762,"y"),""))</x:f>
        <x:v>67</x:v>
      </x:c>
      <x:c r="F762" s="60" t="str">
        <x:v>PERCIVAL</x:v>
      </x:c>
      <x:c r="G762" s="63"/>
      <x:c r="H762" s="63"/>
      <x:c r="I762" s="61"/>
      <x:c r="J762" s="64" t="str">
        <x:f>IF(OR(I762="",X762=""),"",IFERROR(DATEDIF(I762,X762,"m")/12,""))</x:f>
      </x:c>
      <x:c r="K762" s="60"/>
      <x:c r="L762" s="60"/>
      <x:c r="M762" s="60"/>
      <x:c r="N762" s="60"/>
      <x:c r="O762" s="61"/>
      <x:c r="P762" s="64" t="str">
        <x:f>IF(OR(O762="",I762=""),"",IFERROR(DATEDIF(O762,I762,"m")/12,""))</x:f>
      </x:c>
      <x:c r="Q762" s="60"/>
      <x:c r="R762" s="61"/>
      <x:c r="S762" s="64" t="str">
        <x:f>IF(OR(R762="",X762=""),"",IFERROR(DATEDIF(R762,X762,"m")/12,""))</x:f>
      </x:c>
      <x:c r="T762" s="60"/>
      <x:c r="U762" s="60"/>
      <x:c r="V762" s="60"/>
      <x:c r="W762" s="63"/>
      <x:c r="X762" s="65" t="n">
        <x:f>TODAY()</x:f>
        <x:v>46250</x:v>
      </x:c>
    </x:row>
    <x:row r="763">
      <x:c r="A763" s="59" t="str">
        <x:v>Z</x:v>
      </x:c>
      <x:c r="B763" s="60"/>
      <x:c r="C763" s="60"/>
      <x:c r="D763" s="61"/>
      <x:c r="E763" s="62" t="str">
        <x:f>IF(OR(D763="",X763=""),"",IFERROR(DATEDIF(D763,X763,"y"),""))</x:f>
      </x:c>
      <x:c r="F763" s="60"/>
      <x:c r="G763" s="63"/>
      <x:c r="H763" s="63"/>
      <x:c r="I763" s="61"/>
      <x:c r="J763" s="64" t="str">
        <x:f>IF(OR(I763="",X763=""),"",IFERROR(DATEDIF(I763,X763,"m")/12,""))</x:f>
      </x:c>
      <x:c r="K763" s="60"/>
      <x:c r="L763" s="60"/>
      <x:c r="M763" s="60"/>
      <x:c r="N763" s="60"/>
      <x:c r="O763" s="61"/>
      <x:c r="P763" s="64" t="str">
        <x:f>IF(OR(O763="",I763=""),"",IFERROR(DATEDIF(O763,I763,"m")/12,""))</x:f>
      </x:c>
      <x:c r="Q763" s="60"/>
      <x:c r="R763" s="61"/>
      <x:c r="S763" s="64" t="str">
        <x:f>IF(OR(R763="",X763=""),"",IFERROR(DATEDIF(R763,X763,"m")/12,""))</x:f>
      </x:c>
      <x:c r="T763" s="60"/>
      <x:c r="U763" s="60"/>
      <x:c r="V763" s="60"/>
      <x:c r="W763" s="63"/>
      <x:c r="X763" s="65" t="n">
        <x:f>TODAY()</x:f>
        <x:v>46250</x:v>
      </x:c>
    </x:row>
    <x:row r="764">
      <x:c r="A764" s="59" t="str">
        <x:v>ZAPLETALOVA</x:v>
      </x:c>
      <x:c r="B764" s="60" t="str">
        <x:v>K</x:v>
      </x:c>
      <x:c r="C764" s="60"/>
      <x:c r="D764" s="61"/>
      <x:c r="E764" s="62" t="str">
        <x:f>IF(OR(D764="",X764=""),"",IFERROR(DATEDIF(D764,X764,"y"),""))</x:f>
      </x:c>
      <x:c r="F764" s="60"/>
      <x:c r="G764" s="63"/>
      <x:c r="H764" s="63"/>
      <x:c r="I764" s="61"/>
      <x:c r="J764" s="64" t="str">
        <x:f>IF(OR(I764="",X764=""),"",IFERROR(DATEDIF(I764,X764,"m")/12,""))</x:f>
      </x:c>
      <x:c r="K764" s="60" t="str">
        <x:v>FLAT 18, 13 NEVERN SQUARE, LONDON, SW5 9NW</x:v>
      </x:c>
      <x:c r="L764" s="60" t="str">
        <x:v> SW5 9NW</x:v>
      </x:c>
      <x:c r="M764" s="60"/>
      <x:c r="N764" s="60" t="str">
        <x:v>SW5 9NW</x:v>
      </x:c>
      <x:c r="O764" s="61"/>
      <x:c r="P764" s="64" t="str">
        <x:f>IF(OR(O764="",I764=""),"",IFERROR(DATEDIF(O764,I764,"m")/12,""))</x:f>
      </x:c>
      <x:c r="Q764" s="60"/>
      <x:c r="R764" s="61"/>
      <x:c r="S764" s="64" t="str">
        <x:f>IF(OR(R764="",X764=""),"",IFERROR(DATEDIF(R764,X764,"m")/12,""))</x:f>
      </x:c>
      <x:c r="T764" s="60"/>
      <x:c r="U764" s="60"/>
      <x:c r="V764" s="60"/>
      <x:c r="W764" s="63"/>
      <x:c r="X764" s="65" t="n">
        <x:f>TODAY()</x:f>
        <x:v>46250</x:v>
      </x:c>
    </x:row>
    <x:row r="765">
      <x:c r="A765" s="59" t="str">
        <x:v>ZENIC</x:v>
      </x:c>
      <x:c r="B765" s="60" t="str">
        <x:v>ANA</x:v>
      </x:c>
      <x:c r="C765" s="60"/>
      <x:c r="D765" s="61" t="n">
        <x:v>18032.5</x:v>
      </x:c>
      <x:c r="E765" s="62" t="n">
        <x:f>IF(OR(D765="",X765=""),"",IFERROR(DATEDIF(D765,X765,"y"),""))</x:f>
        <x:v>77</x:v>
      </x:c>
      <x:c r="F765" s="60" t="str">
        <x:v>ZENIC</x:v>
      </x:c>
      <x:c r="G765" s="63" t="str">
        <x:v>07899416394</x:v>
      </x:c>
      <x:c r="H765" s="63" t="str">
        <x:v>NR568399C</x:v>
      </x:c>
      <x:c r="I765" s="61" t="n">
        <x:v>42186.5</x:v>
      </x:c>
      <x:c r="J765" s="64" t="n">
        <x:f>IF(OR(I765="",X765=""),"",IFERROR(DATEDIF(I765,X765,"m")/12,""))</x:f>
        <x:v>11.083333333333334</x:v>
      </x:c>
      <x:c r="K765" s="60" t="str">
        <x:v>FLAT 14, KINGS MANSIONS, LAWRENCE STREET, LONDON, SW3 5ND</x:v>
      </x:c>
      <x:c r="L765" s="60" t="str">
        <x:v> SW3 5ND</x:v>
      </x:c>
      <x:c r="M765" s="60"/>
      <x:c r="N765" s="60" t="str">
        <x:v>SW3 5ND</x:v>
      </x:c>
      <x:c r="O765" s="61"/>
      <x:c r="P765" s="64" t="str">
        <x:f>IF(OR(O765="",I765=""),"",IFERROR(DATEDIF(O765,I765,"m")/12,""))</x:f>
      </x:c>
      <x:c r="Q765" s="60"/>
      <x:c r="R765" s="61" t="n">
        <x:v>34820.5</x:v>
      </x:c>
      <x:c r="S765" s="64" t="n">
        <x:f>IF(OR(R765="",X765=""),"",IFERROR(DATEDIF(R765,X765,"m")/12,""))</x:f>
        <x:v>31.25</x:v>
      </x:c>
      <x:c r="T765" s="60" t="str">
        <x:v>COMPANY DIRECTOR</x:v>
      </x:c>
      <x:c r="U765" s="60" t="str">
        <x:v>ANA ZENIC DESIGN LTD</x:v>
      </x:c>
      <x:c r="V765" s="60" t="str">
        <x:v>134 LOTS RD, LONDON SW10 0RJ</x:v>
      </x:c>
      <x:c r="W765" s="63" t="str">
        <x:v>0771 177 2768</x:v>
      </x:c>
      <x:c r="X765" s="65" t="n">
        <x:f>TODAY()</x:f>
        <x:v>46250</x:v>
      </x:c>
    </x:row>
    <x:row r="766">
      <x:c r="A766" s="59" t="str">
        <x:v>ZENIC</x:v>
      </x:c>
      <x:c r="B766" s="60" t="str">
        <x:v>BORIS</x:v>
      </x:c>
      <x:c r="C766" s="60" t="str">
        <x:v>MIRO</x:v>
      </x:c>
      <x:c r="D766" s="61" t="n">
        <x:v>18173.5</x:v>
      </x:c>
      <x:c r="E766" s="62" t="n">
        <x:f>IF(OR(D766="",X766=""),"",IFERROR(DATEDIF(D766,X766,"y"),""))</x:f>
        <x:v>76</x:v>
      </x:c>
      <x:c r="F766" s="60" t="str">
        <x:v>ZENIC</x:v>
      </x:c>
      <x:c r="G766" s="63" t="str">
        <x:v>07423355323</x:v>
      </x:c>
      <x:c r="H766" s="63"/>
      <x:c r="I766" s="61" t="n">
        <x:v>42186.5</x:v>
      </x:c>
      <x:c r="J766" s="64" t="n">
        <x:f>IF(OR(I766="",X766=""),"",IFERROR(DATEDIF(I766,X766,"m")/12,""))</x:f>
        <x:v>11.083333333333334</x:v>
      </x:c>
      <x:c r="K766" s="60" t="str">
        <x:v>FLAT 14, KINGS MANSIONS, LAWRENCE STREET, LONDON, SW3 5ND</x:v>
      </x:c>
      <x:c r="L766" s="60" t="str">
        <x:v> SW3 5ND</x:v>
      </x:c>
      <x:c r="M766" s="60" t="str">
        <x:v> SW3 5ND</x:v>
      </x:c>
      <x:c r="N766" s="60" t="str">
        <x:v>SW3 5ND</x:v>
      </x:c>
      <x:c r="O766" s="61"/>
      <x:c r="P766" s="64" t="str">
        <x:f>IF(OR(O766="",I766=""),"",IFERROR(DATEDIF(O766,I766,"m")/12,""))</x:f>
      </x:c>
      <x:c r="Q766" s="60"/>
      <x:c r="R766" s="61"/>
      <x:c r="S766" s="64" t="str">
        <x:f>IF(OR(R766="",X766=""),"",IFERROR(DATEDIF(R766,X766,"m")/12,""))</x:f>
      </x:c>
      <x:c r="T766" s="60"/>
      <x:c r="U766" s="60"/>
      <x:c r="V766" s="60"/>
      <x:c r="W766" s="63"/>
      <x:c r="X766" s="65" t="n">
        <x:f>TODAY()</x:f>
        <x:v>46250</x:v>
      </x:c>
    </x:row>
    <x:row r="767">
      <x:c r="A767" s="59" t="str">
        <x:v>ZHANG</x:v>
      </x:c>
      <x:c r="B767" s="60" t="str">
        <x:v>JIALU</x:v>
      </x:c>
      <x:c r="C767" s="60" t="str">
        <x:v>LOUIS</x:v>
      </x:c>
      <x:c r="D767" s="61" t="n">
        <x:v>34384.5</x:v>
      </x:c>
      <x:c r="E767" s="62" t="n">
        <x:f>IF(OR(D767="",X767=""),"",IFERROR(DATEDIF(D767,X767,"y"),""))</x:f>
        <x:v>32</x:v>
      </x:c>
      <x:c r="F767" s="60"/>
      <x:c r="G767" s="63" t="str">
        <x:v>07780142190</x:v>
      </x:c>
      <x:c r="H767" s="63"/>
      <x:c r="I767" s="61" t="n">
        <x:v>43709.5</x:v>
      </x:c>
      <x:c r="J767" s="64" t="n">
        <x:f>IF(OR(I767="",X767=""),"",IFERROR(DATEDIF(I767,X767,"m")/12,""))</x:f>
        <x:v>6.916666666666667</x:v>
      </x:c>
      <x:c r="K767" s="60" t="str">
        <x:v>FLAT 5, 13 NEVERN SQUARE, LONDON, SW5 9NW</x:v>
      </x:c>
      <x:c r="L767" s="60" t="str">
        <x:v> SW5 9NW</x:v>
      </x:c>
      <x:c r="M767" s="60" t="str">
        <x:v> SW5 9NW</x:v>
      </x:c>
      <x:c r="N767" s="60" t="str">
        <x:v>SW5 9NW</x:v>
      </x:c>
      <x:c r="O767" s="61"/>
      <x:c r="P767" s="64" t="str">
        <x:f>IF(OR(O767="",I767=""),"",IFERROR(DATEDIF(O767,I767,"m")/12,""))</x:f>
      </x:c>
      <x:c r="Q767" s="60"/>
      <x:c r="R767" s="61" t="n">
        <x:v>44075.5</x:v>
      </x:c>
      <x:c r="S767" s="64" t="n">
        <x:f>IF(OR(R767="",X767=""),"",IFERROR(DATEDIF(R767,X767,"m")/12,""))</x:f>
        <x:v>5.916666666666667</x:v>
      </x:c>
      <x:c r="T767" s="60" t="str">
        <x:v>TEACHER</x:v>
      </x:c>
      <x:c r="U767" s="60" t="str">
        <x:v>HARRIS WESTMINSTER SIXTH FORM</x:v>
      </x:c>
      <x:c r="V767" s="60" t="str">
        <x:v>STEEL HOUSE, 11 TOTHILL ST, LONDON, SW1H 9LH.</x:v>
      </x:c>
      <x:c r="W767" s="63" t="str">
        <x:v>0203 772 4555</x:v>
      </x:c>
      <x:c r="X767" s="65" t="n">
        <x:f>TODAY()</x:f>
        <x:v>46250</x:v>
      </x:c>
    </x:row>
    <x:row r="768">
      <x:c r="A768" s="59" t="str">
        <x:v>ZOUMIDES</x:v>
      </x:c>
      <x:c r="B768" s="60" t="str">
        <x:v>JOHN</x:v>
      </x:c>
      <x:c r="C768" s="60"/>
      <x:c r="D768" s="61" t="n">
        <x:v>30097.5</x:v>
      </x:c>
      <x:c r="E768" s="62" t="n">
        <x:f>IF(OR(D768="",X768=""),"",IFERROR(DATEDIF(D768,X768,"y"),""))</x:f>
        <x:v>44</x:v>
      </x:c>
      <x:c r="F768" s="60" t="str">
        <x:v>BRAY</x:v>
      </x:c>
      <x:c r="G768" s="63"/>
      <x:c r="H768" s="63"/>
      <x:c r="I768" s="61" t="n">
        <x:v>43709.5</x:v>
      </x:c>
      <x:c r="J768" s="64" t="n">
        <x:f>IF(OR(I768="",X768=""),"",IFERROR(DATEDIF(I768,X768,"m")/12,""))</x:f>
        <x:v>6.916666666666667</x:v>
      </x:c>
      <x:c r="K768" s="60" t="str">
        <x:v>292-294 FULHAM ROAD, LONDON, SW10 9EW</x:v>
      </x:c>
      <x:c r="L768" s="60" t="str">
        <x:v> SW10 9EW</x:v>
      </x:c>
      <x:c r="M768" s="60" t="str">
        <x:v> SW10 9EW</x:v>
      </x:c>
      <x:c r="N768" s="60" t="str">
        <x:v>SW10 9EW</x:v>
      </x:c>
      <x:c r="O768" s="61"/>
      <x:c r="P768" s="64" t="str">
        <x:f>IF(OR(O768="",I768=""),"",IFERROR(DATEDIF(O768,I768,"m")/12,""))</x:f>
      </x:c>
      <x:c r="Q768" s="60"/>
      <x:c r="R768" s="61"/>
      <x:c r="S768" s="64" t="str">
        <x:f>IF(OR(R768="",X768=""),"",IFERROR(DATEDIF(R768,X768,"m")/12,""))</x:f>
      </x:c>
      <x:c r="T768" s="60"/>
      <x:c r="U768" s="60"/>
      <x:c r="V768" s="60"/>
      <x:c r="W768" s="63"/>
      <x:c r="X768" s="65" t="n">
        <x:f>TODAY()</x:f>
        <x:v>46250</x:v>
      </x:c>
    </x:row>
    <x:row r="769">
      <x:c r="A769" s="66" t="str">
        <x:v>DALTON</x:v>
      </x:c>
      <x:c r="B769" s="67" t="str">
        <x:v>OLIVER</x:v>
      </x:c>
      <x:c r="C769" s="67"/>
      <x:c r="D769" s="68" t="n">
        <x:v>34799.5</x:v>
      </x:c>
      <x:c r="E769" s="69" t="n">
        <x:f>IF(OR(D769="",X769=""),"",IFERROR(DATEDIF(D769,X769,"y"),""))</x:f>
        <x:v>31</x:v>
      </x:c>
      <x:c r="F769" s="67" t="str">
        <x:v>RIGG</x:v>
      </x:c>
      <x:c r="G769" s="70"/>
      <x:c r="H769" s="70"/>
      <x:c r="I769" s="68" t="n">
        <x:v>44044.5</x:v>
      </x:c>
      <x:c r="J769" s="71" t="n">
        <x:f>IF(OR(I769="",X769=""),"",IFERROR(DATEDIF(I769,X769,"m")/12,""))</x:f>
        <x:v>6</x:v>
      </x:c>
      <x:c r="K769" s="67" t="str">
        <x:v>FLAT 7, 162 BRIXTON ROAD, LONDON, SW9 6AU</x:v>
      </x:c>
      <x:c r="L769" s="67"/>
      <x:c r="M769" s="67" t="str">
        <x:v>SW9</x:v>
      </x:c>
      <x:c r="N769" s="67"/>
      <x:c r="O769" s="68"/>
      <x:c r="P769" s="71" t="str">
        <x:f>IF(OR(O769="",I769=""),"",IFERROR(DATEDIF(O769,I769,"m")/12,""))</x:f>
      </x:c>
      <x:c r="Q769" s="67"/>
      <x:c r="R769" s="68"/>
      <x:c r="S769" s="71" t="str">
        <x:f>IF(OR(R769="",X769=""),"",IFERROR(DATEDIF(R769,X769,"m")/12,""))</x:f>
      </x:c>
      <x:c r="T769" s="67"/>
      <x:c r="U769" s="67"/>
      <x:c r="V769" s="67"/>
      <x:c r="W769" s="70"/>
      <x:c r="X769" s="72" t="n">
        <x:f>TODAY()</x:f>
        <x:v>46250</x:v>
      </x:c>
    </x:row>
  </x:sheetData>
  <x:pageMargins left="0.7" right="0.7" top="0.75" bottom="0.75" header="0.3" footer="0.3"/>
  <x:legacyDrawing xmlns:r="http://schemas.openxmlformats.org/officeDocument/2006/relationships" r:id="R74b024f00f994c49"/>
  <x:tableParts count="1">
    <x:tablePart xmlns:r="http://schemas.openxmlformats.org/officeDocument/2006/relationships" r:id="Rcf4653f705ab4f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8" hidden="0" customWidth="1"/>
    <x:col min="5" max="5" width="30" hidden="0" customWidth="1"/>
    <x:col min="6" max="6" width="28" hidden="0" customWidth="1"/>
    <x:col min="7" max="7" width="18" hidden="0" customWidth="1"/>
    <x:col min="8" max="8" width="14" hidden="0" customWidth="1"/>
    <x:col min="9" max="9" width="16" hidden="0" customWidth="1"/>
    <x:col min="10" max="10" width="24" hidden="0" customWidth="1"/>
    <x:col min="11" max="11" width="14" hidden="0" customWidth="1"/>
    <x:col min="12" max="12" width="16" hidden="0" customWidth="1"/>
    <x:col min="13" max="13" width="46" hidden="0" customWidth="1"/>
    <x:col min="14" max="14" width="30" hidden="0" customWidth="1"/>
    <x:col min="15" max="15" width="42" hidden="0" customWidth="1"/>
    <x:col min="16" max="16" width="16" hidden="0" customWidth="1"/>
    <x:col min="17" max="17" width="14" hidden="0" customWidth="1"/>
    <x:col min="18" max="18" width="44" hidden="0" customWidth="1"/>
  </x:cols>
  <x:sheetData>
    <x:row r="1" ht="32" customHeight="1">
      <x:c r="A1" s="75" t="str">
        <x:v>POWER OF ATTORNEY REGISTER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</x:row>
    <x:row r="2" ht="34" customHeight="1">
      <x:c r="A2" s="79" t="str">
        <x:v>Record what each document states. This register is an administrative index and is not legal validation of a power of attorney.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</x:row>
    <x:row r="4" ht="34" customHeight="1">
      <x:c r="A4" s="12" t="str">
        <x:v>POA RECORD ID</x:v>
      </x:c>
      <x:c r="B4" s="13" t="str">
        <x:v>DONOR FULL NAME</x:v>
      </x:c>
      <x:c r="C4" s="13" t="str">
        <x:v>DONOR D.O.B</x:v>
      </x:c>
      <x:c r="D4" s="13" t="str">
        <x:v>N/I NUMBER</x:v>
      </x:c>
      <x:c r="E4" s="13" t="str">
        <x:v>ATTORNEY(S)</x:v>
      </x:c>
      <x:c r="F4" s="13" t="str">
        <x:v>POA TYPE</x:v>
      </x:c>
      <x:c r="G4" s="13" t="str">
        <x:v>JURISDICTION</x:v>
      </x:c>
      <x:c r="H4" s="13" t="str">
        <x:v>DATE SIGNED</x:v>
      </x:c>
      <x:c r="I4" s="13" t="str">
        <x:v>DATE REGISTERED</x:v>
      </x:c>
      <x:c r="J4" s="13" t="str">
        <x:v>REGISTRATION REFERENCE</x:v>
      </x:c>
      <x:c r="K4" s="13" t="str">
        <x:v>EFFECTIVE FROM</x:v>
      </x:c>
      <x:c r="L4" s="13" t="str">
        <x:v>STATUS</x:v>
      </x:c>
      <x:c r="M4" s="13" t="str">
        <x:v>SCOPE / RESTRICTIONS</x:v>
      </x:c>
      <x:c r="N4" s="13" t="str">
        <x:v>REPLACEMENT ATTORNEYS</x:v>
      </x:c>
      <x:c r="O4" s="13" t="str">
        <x:v>SOURCE PDF</x:v>
      </x:c>
      <x:c r="P4" s="13" t="str">
        <x:v>SOURCE PAGE(S)</x:v>
      </x:c>
      <x:c r="Q4" s="13" t="str">
        <x:v>LAST REVIEWED</x:v>
      </x:c>
      <x:c r="R4" s="14" t="str">
        <x:v>REVIEW NOTES</x:v>
      </x:c>
    </x:row>
    <x:row r="5">
      <x:c r="C5" s="80"/>
      <x:c r="D5" s="81"/>
      <x:c r="H5" s="80"/>
      <x:c r="I5" s="80"/>
      <x:c r="K5" s="80"/>
      <x:c r="Q5" s="80"/>
    </x:row>
    <x:row r="6">
      <x:c r="C6" s="80"/>
      <x:c r="D6" s="81"/>
      <x:c r="H6" s="80"/>
      <x:c r="I6" s="80"/>
      <x:c r="K6" s="80"/>
      <x:c r="Q6" s="80"/>
    </x:row>
    <x:row r="7">
      <x:c r="C7" s="80"/>
      <x:c r="D7" s="81"/>
      <x:c r="H7" s="80"/>
      <x:c r="I7" s="80"/>
      <x:c r="K7" s="80"/>
      <x:c r="Q7" s="80"/>
    </x:row>
    <x:row r="8">
      <x:c r="C8" s="80"/>
      <x:c r="D8" s="81"/>
      <x:c r="H8" s="80"/>
      <x:c r="I8" s="80"/>
      <x:c r="K8" s="80"/>
      <x:c r="Q8" s="80"/>
    </x:row>
    <x:row r="9">
      <x:c r="C9" s="80"/>
      <x:c r="D9" s="81"/>
      <x:c r="H9" s="80"/>
      <x:c r="I9" s="80"/>
      <x:c r="K9" s="80"/>
      <x:c r="Q9" s="80"/>
    </x:row>
    <x:row r="10">
      <x:c r="C10" s="80"/>
      <x:c r="D10" s="81"/>
      <x:c r="H10" s="80"/>
      <x:c r="I10" s="80"/>
      <x:c r="K10" s="80"/>
      <x:c r="Q10" s="80"/>
    </x:row>
    <x:row r="11">
      <x:c r="C11" s="80"/>
      <x:c r="D11" s="81"/>
      <x:c r="H11" s="80"/>
      <x:c r="I11" s="80"/>
      <x:c r="K11" s="80"/>
      <x:c r="Q11" s="80"/>
    </x:row>
    <x:row r="12">
      <x:c r="C12" s="80"/>
      <x:c r="D12" s="81"/>
      <x:c r="H12" s="80"/>
      <x:c r="I12" s="80"/>
      <x:c r="K12" s="80"/>
      <x:c r="Q12" s="80"/>
    </x:row>
    <x:row r="13">
      <x:c r="C13" s="80"/>
      <x:c r="D13" s="81"/>
      <x:c r="H13" s="80"/>
      <x:c r="I13" s="80"/>
      <x:c r="K13" s="80"/>
      <x:c r="Q13" s="80"/>
    </x:row>
    <x:row r="14">
      <x:c r="C14" s="80"/>
      <x:c r="D14" s="81"/>
      <x:c r="H14" s="80"/>
      <x:c r="I14" s="80"/>
      <x:c r="K14" s="80"/>
      <x:c r="Q14" s="80"/>
    </x:row>
    <x:row r="15">
      <x:c r="C15" s="80"/>
      <x:c r="D15" s="81"/>
      <x:c r="H15" s="80"/>
      <x:c r="I15" s="80"/>
      <x:c r="K15" s="80"/>
      <x:c r="Q15" s="80"/>
    </x:row>
    <x:row r="16">
      <x:c r="C16" s="80"/>
      <x:c r="D16" s="81"/>
      <x:c r="H16" s="80"/>
      <x:c r="I16" s="80"/>
      <x:c r="K16" s="80"/>
      <x:c r="Q16" s="80"/>
    </x:row>
    <x:row r="17">
      <x:c r="C17" s="80"/>
      <x:c r="D17" s="81"/>
      <x:c r="H17" s="80"/>
      <x:c r="I17" s="80"/>
      <x:c r="K17" s="80"/>
      <x:c r="Q17" s="80"/>
    </x:row>
    <x:row r="18">
      <x:c r="C18" s="80"/>
      <x:c r="D18" s="81"/>
      <x:c r="H18" s="80"/>
      <x:c r="I18" s="80"/>
      <x:c r="K18" s="80"/>
      <x:c r="Q18" s="80"/>
    </x:row>
    <x:row r="19">
      <x:c r="C19" s="80"/>
      <x:c r="D19" s="81"/>
      <x:c r="H19" s="80"/>
      <x:c r="I19" s="80"/>
      <x:c r="K19" s="80"/>
      <x:c r="Q19" s="80"/>
    </x:row>
    <x:row r="20">
      <x:c r="C20" s="80"/>
      <x:c r="D20" s="81"/>
      <x:c r="H20" s="80"/>
      <x:c r="I20" s="80"/>
      <x:c r="K20" s="80"/>
      <x:c r="Q20" s="80"/>
    </x:row>
    <x:row r="21">
      <x:c r="C21" s="80"/>
      <x:c r="D21" s="81"/>
      <x:c r="H21" s="80"/>
      <x:c r="I21" s="80"/>
      <x:c r="K21" s="80"/>
      <x:c r="Q21" s="80"/>
    </x:row>
    <x:row r="22">
      <x:c r="C22" s="80"/>
      <x:c r="D22" s="81"/>
      <x:c r="H22" s="80"/>
      <x:c r="I22" s="80"/>
      <x:c r="K22" s="80"/>
      <x:c r="Q22" s="80"/>
    </x:row>
    <x:row r="23">
      <x:c r="C23" s="80"/>
      <x:c r="D23" s="81"/>
      <x:c r="H23" s="80"/>
      <x:c r="I23" s="80"/>
      <x:c r="K23" s="80"/>
      <x:c r="Q23" s="80"/>
    </x:row>
    <x:row r="24">
      <x:c r="C24" s="80"/>
      <x:c r="D24" s="81"/>
      <x:c r="H24" s="80"/>
      <x:c r="I24" s="80"/>
      <x:c r="K24" s="80"/>
      <x:c r="Q24" s="80"/>
    </x:row>
    <x:row r="25">
      <x:c r="C25" s="80"/>
      <x:c r="D25" s="81"/>
      <x:c r="H25" s="80"/>
      <x:c r="I25" s="80"/>
      <x:c r="K25" s="80"/>
      <x:c r="Q25" s="80"/>
    </x:row>
    <x:row r="26">
      <x:c r="C26" s="80"/>
      <x:c r="D26" s="81"/>
      <x:c r="H26" s="80"/>
      <x:c r="I26" s="80"/>
      <x:c r="K26" s="80"/>
      <x:c r="Q26" s="80"/>
    </x:row>
    <x:row r="27">
      <x:c r="C27" s="80"/>
      <x:c r="D27" s="81"/>
      <x:c r="H27" s="80"/>
      <x:c r="I27" s="80"/>
      <x:c r="K27" s="80"/>
      <x:c r="Q27" s="80"/>
    </x:row>
    <x:row r="28">
      <x:c r="C28" s="80"/>
      <x:c r="D28" s="81"/>
      <x:c r="H28" s="80"/>
      <x:c r="I28" s="80"/>
      <x:c r="K28" s="80"/>
      <x:c r="Q28" s="80"/>
    </x:row>
    <x:row r="29">
      <x:c r="C29" s="80"/>
      <x:c r="D29" s="81"/>
      <x:c r="H29" s="80"/>
      <x:c r="I29" s="80"/>
      <x:c r="K29" s="80"/>
      <x:c r="Q29" s="80"/>
    </x:row>
    <x:row r="30">
      <x:c r="C30" s="80"/>
      <x:c r="D30" s="81"/>
      <x:c r="H30" s="80"/>
      <x:c r="I30" s="80"/>
      <x:c r="K30" s="80"/>
      <x:c r="Q30" s="80"/>
    </x:row>
    <x:row r="31">
      <x:c r="C31" s="80"/>
      <x:c r="D31" s="81"/>
      <x:c r="H31" s="80"/>
      <x:c r="I31" s="80"/>
      <x:c r="K31" s="80"/>
      <x:c r="Q31" s="80"/>
    </x:row>
    <x:row r="32">
      <x:c r="C32" s="80"/>
      <x:c r="D32" s="81"/>
      <x:c r="H32" s="80"/>
      <x:c r="I32" s="80"/>
      <x:c r="K32" s="80"/>
      <x:c r="Q32" s="80"/>
    </x:row>
    <x:row r="33">
      <x:c r="C33" s="80"/>
      <x:c r="D33" s="81"/>
      <x:c r="H33" s="80"/>
      <x:c r="I33" s="80"/>
      <x:c r="K33" s="80"/>
      <x:c r="Q33" s="80"/>
    </x:row>
    <x:row r="34">
      <x:c r="C34" s="80"/>
      <x:c r="D34" s="81"/>
      <x:c r="H34" s="80"/>
      <x:c r="I34" s="80"/>
      <x:c r="K34" s="80"/>
      <x:c r="Q34" s="80"/>
    </x:row>
    <x:row r="35">
      <x:c r="C35" s="80"/>
      <x:c r="D35" s="81"/>
      <x:c r="H35" s="80"/>
      <x:c r="I35" s="80"/>
      <x:c r="K35" s="80"/>
      <x:c r="Q35" s="80"/>
    </x:row>
    <x:row r="36">
      <x:c r="C36" s="80"/>
      <x:c r="D36" s="81"/>
      <x:c r="H36" s="80"/>
      <x:c r="I36" s="80"/>
      <x:c r="K36" s="80"/>
      <x:c r="Q36" s="80"/>
    </x:row>
    <x:row r="37">
      <x:c r="C37" s="80"/>
      <x:c r="D37" s="81"/>
      <x:c r="H37" s="80"/>
      <x:c r="I37" s="80"/>
      <x:c r="K37" s="80"/>
      <x:c r="Q37" s="80"/>
    </x:row>
    <x:row r="38">
      <x:c r="C38" s="80"/>
      <x:c r="D38" s="81"/>
      <x:c r="H38" s="80"/>
      <x:c r="I38" s="80"/>
      <x:c r="K38" s="80"/>
      <x:c r="Q38" s="80"/>
    </x:row>
    <x:row r="39">
      <x:c r="C39" s="80"/>
      <x:c r="D39" s="81"/>
      <x:c r="H39" s="80"/>
      <x:c r="I39" s="80"/>
      <x:c r="K39" s="80"/>
      <x:c r="Q39" s="80"/>
    </x:row>
    <x:row r="40">
      <x:c r="C40" s="80"/>
      <x:c r="D40" s="81"/>
      <x:c r="H40" s="80"/>
      <x:c r="I40" s="80"/>
      <x:c r="K40" s="80"/>
      <x:c r="Q40" s="80"/>
    </x:row>
    <x:row r="41">
      <x:c r="C41" s="80"/>
      <x:c r="D41" s="81"/>
      <x:c r="H41" s="80"/>
      <x:c r="I41" s="80"/>
      <x:c r="K41" s="80"/>
      <x:c r="Q41" s="80"/>
    </x:row>
    <x:row r="42">
      <x:c r="C42" s="80"/>
      <x:c r="D42" s="81"/>
      <x:c r="H42" s="80"/>
      <x:c r="I42" s="80"/>
      <x:c r="K42" s="80"/>
      <x:c r="Q42" s="80"/>
    </x:row>
    <x:row r="43">
      <x:c r="C43" s="80"/>
      <x:c r="D43" s="81"/>
      <x:c r="H43" s="80"/>
      <x:c r="I43" s="80"/>
      <x:c r="K43" s="80"/>
      <x:c r="Q43" s="80"/>
    </x:row>
    <x:row r="44">
      <x:c r="C44" s="80"/>
      <x:c r="D44" s="81"/>
      <x:c r="H44" s="80"/>
      <x:c r="I44" s="80"/>
      <x:c r="K44" s="80"/>
      <x:c r="Q44" s="80"/>
    </x:row>
    <x:row r="45">
      <x:c r="C45" s="80"/>
      <x:c r="D45" s="81"/>
      <x:c r="H45" s="80"/>
      <x:c r="I45" s="80"/>
      <x:c r="K45" s="80"/>
      <x:c r="Q45" s="80"/>
    </x:row>
    <x:row r="46">
      <x:c r="C46" s="80"/>
      <x:c r="D46" s="81"/>
      <x:c r="H46" s="80"/>
      <x:c r="I46" s="80"/>
      <x:c r="K46" s="80"/>
      <x:c r="Q46" s="80"/>
    </x:row>
    <x:row r="47">
      <x:c r="C47" s="80"/>
      <x:c r="D47" s="81"/>
      <x:c r="H47" s="80"/>
      <x:c r="I47" s="80"/>
      <x:c r="K47" s="80"/>
      <x:c r="Q47" s="80"/>
    </x:row>
    <x:row r="48">
      <x:c r="C48" s="80"/>
      <x:c r="D48" s="81"/>
      <x:c r="H48" s="80"/>
      <x:c r="I48" s="80"/>
      <x:c r="K48" s="80"/>
      <x:c r="Q48" s="80"/>
    </x:row>
    <x:row r="49">
      <x:c r="C49" s="80"/>
      <x:c r="D49" s="81"/>
      <x:c r="H49" s="80"/>
      <x:c r="I49" s="80"/>
      <x:c r="K49" s="80"/>
      <x:c r="Q49" s="80"/>
    </x:row>
    <x:row r="50">
      <x:c r="C50" s="80"/>
      <x:c r="D50" s="81"/>
      <x:c r="H50" s="80"/>
      <x:c r="I50" s="80"/>
      <x:c r="K50" s="80"/>
      <x:c r="Q50" s="80"/>
    </x:row>
    <x:row r="51">
      <x:c r="C51" s="80"/>
      <x:c r="D51" s="81"/>
      <x:c r="H51" s="80"/>
      <x:c r="I51" s="80"/>
      <x:c r="K51" s="80"/>
      <x:c r="Q51" s="80"/>
    </x:row>
    <x:row r="52">
      <x:c r="C52" s="80"/>
      <x:c r="D52" s="81"/>
      <x:c r="H52" s="80"/>
      <x:c r="I52" s="80"/>
      <x:c r="K52" s="80"/>
      <x:c r="Q52" s="80"/>
    </x:row>
    <x:row r="53">
      <x:c r="C53" s="80"/>
      <x:c r="D53" s="81"/>
      <x:c r="H53" s="80"/>
      <x:c r="I53" s="80"/>
      <x:c r="K53" s="80"/>
      <x:c r="Q53" s="80"/>
    </x:row>
    <x:row r="54">
      <x:c r="C54" s="80"/>
      <x:c r="D54" s="81"/>
      <x:c r="H54" s="80"/>
      <x:c r="I54" s="80"/>
      <x:c r="K54" s="80"/>
      <x:c r="Q54" s="80"/>
    </x:row>
    <x:row r="55">
      <x:c r="C55" s="80"/>
      <x:c r="D55" s="81"/>
      <x:c r="H55" s="80"/>
      <x:c r="I55" s="80"/>
      <x:c r="K55" s="80"/>
      <x:c r="Q55" s="80"/>
    </x:row>
    <x:row r="56">
      <x:c r="C56" s="80"/>
      <x:c r="D56" s="81"/>
      <x:c r="H56" s="80"/>
      <x:c r="I56" s="80"/>
      <x:c r="K56" s="80"/>
      <x:c r="Q56" s="80"/>
    </x:row>
    <x:row r="57">
      <x:c r="C57" s="80"/>
      <x:c r="D57" s="81"/>
      <x:c r="H57" s="80"/>
      <x:c r="I57" s="80"/>
      <x:c r="K57" s="80"/>
      <x:c r="Q57" s="80"/>
    </x:row>
    <x:row r="58">
      <x:c r="C58" s="80"/>
      <x:c r="D58" s="81"/>
      <x:c r="H58" s="80"/>
      <x:c r="I58" s="80"/>
      <x:c r="K58" s="80"/>
      <x:c r="Q58" s="80"/>
    </x:row>
    <x:row r="59">
      <x:c r="C59" s="80"/>
      <x:c r="D59" s="81"/>
      <x:c r="H59" s="80"/>
      <x:c r="I59" s="80"/>
      <x:c r="K59" s="80"/>
      <x:c r="Q59" s="80"/>
    </x:row>
    <x:row r="60">
      <x:c r="C60" s="80"/>
      <x:c r="D60" s="81"/>
      <x:c r="H60" s="80"/>
      <x:c r="I60" s="80"/>
      <x:c r="K60" s="80"/>
      <x:c r="Q60" s="80"/>
    </x:row>
    <x:row r="61">
      <x:c r="C61" s="80"/>
      <x:c r="D61" s="81"/>
      <x:c r="H61" s="80"/>
      <x:c r="I61" s="80"/>
      <x:c r="K61" s="80"/>
      <x:c r="Q61" s="80"/>
    </x:row>
    <x:row r="62">
      <x:c r="C62" s="80"/>
      <x:c r="D62" s="81"/>
      <x:c r="H62" s="80"/>
      <x:c r="I62" s="80"/>
      <x:c r="K62" s="80"/>
      <x:c r="Q62" s="80"/>
    </x:row>
    <x:row r="63">
      <x:c r="C63" s="80"/>
      <x:c r="D63" s="81"/>
      <x:c r="H63" s="80"/>
      <x:c r="I63" s="80"/>
      <x:c r="K63" s="80"/>
      <x:c r="Q63" s="80"/>
    </x:row>
    <x:row r="64">
      <x:c r="C64" s="80"/>
      <x:c r="D64" s="81"/>
      <x:c r="H64" s="80"/>
      <x:c r="I64" s="80"/>
      <x:c r="K64" s="80"/>
      <x:c r="Q64" s="80"/>
    </x:row>
    <x:row r="65">
      <x:c r="C65" s="80"/>
      <x:c r="D65" s="81"/>
      <x:c r="H65" s="80"/>
      <x:c r="I65" s="80"/>
      <x:c r="K65" s="80"/>
      <x:c r="Q65" s="80"/>
    </x:row>
    <x:row r="66">
      <x:c r="C66" s="80"/>
      <x:c r="D66" s="81"/>
      <x:c r="H66" s="80"/>
      <x:c r="I66" s="80"/>
      <x:c r="K66" s="80"/>
      <x:c r="Q66" s="80"/>
    </x:row>
    <x:row r="67">
      <x:c r="C67" s="80"/>
      <x:c r="D67" s="81"/>
      <x:c r="H67" s="80"/>
      <x:c r="I67" s="80"/>
      <x:c r="K67" s="80"/>
      <x:c r="Q67" s="80"/>
    </x:row>
    <x:row r="68">
      <x:c r="C68" s="80"/>
      <x:c r="D68" s="81"/>
      <x:c r="H68" s="80"/>
      <x:c r="I68" s="80"/>
      <x:c r="K68" s="80"/>
      <x:c r="Q68" s="80"/>
    </x:row>
    <x:row r="69">
      <x:c r="C69" s="80"/>
      <x:c r="D69" s="81"/>
      <x:c r="H69" s="80"/>
      <x:c r="I69" s="80"/>
      <x:c r="K69" s="80"/>
      <x:c r="Q69" s="80"/>
    </x:row>
    <x:row r="70">
      <x:c r="C70" s="80"/>
      <x:c r="D70" s="81"/>
      <x:c r="H70" s="80"/>
      <x:c r="I70" s="80"/>
      <x:c r="K70" s="80"/>
      <x:c r="Q70" s="80"/>
    </x:row>
    <x:row r="71">
      <x:c r="C71" s="80"/>
      <x:c r="D71" s="81"/>
      <x:c r="H71" s="80"/>
      <x:c r="I71" s="80"/>
      <x:c r="K71" s="80"/>
      <x:c r="Q71" s="80"/>
    </x:row>
    <x:row r="72">
      <x:c r="C72" s="80"/>
      <x:c r="D72" s="81"/>
      <x:c r="H72" s="80"/>
      <x:c r="I72" s="80"/>
      <x:c r="K72" s="80"/>
      <x:c r="Q72" s="80"/>
    </x:row>
    <x:row r="73">
      <x:c r="C73" s="80"/>
      <x:c r="D73" s="81"/>
      <x:c r="H73" s="80"/>
      <x:c r="I73" s="80"/>
      <x:c r="K73" s="80"/>
      <x:c r="Q73" s="80"/>
    </x:row>
    <x:row r="74">
      <x:c r="C74" s="80"/>
      <x:c r="D74" s="81"/>
      <x:c r="H74" s="80"/>
      <x:c r="I74" s="80"/>
      <x:c r="K74" s="80"/>
      <x:c r="Q74" s="80"/>
    </x:row>
    <x:row r="75">
      <x:c r="C75" s="80"/>
      <x:c r="D75" s="81"/>
      <x:c r="H75" s="80"/>
      <x:c r="I75" s="80"/>
      <x:c r="K75" s="80"/>
      <x:c r="Q75" s="80"/>
    </x:row>
    <x:row r="76">
      <x:c r="C76" s="80"/>
      <x:c r="D76" s="81"/>
      <x:c r="H76" s="80"/>
      <x:c r="I76" s="80"/>
      <x:c r="K76" s="80"/>
      <x:c r="Q76" s="80"/>
    </x:row>
    <x:row r="77">
      <x:c r="C77" s="80"/>
      <x:c r="D77" s="81"/>
      <x:c r="H77" s="80"/>
      <x:c r="I77" s="80"/>
      <x:c r="K77" s="80"/>
      <x:c r="Q77" s="80"/>
    </x:row>
    <x:row r="78">
      <x:c r="C78" s="80"/>
      <x:c r="D78" s="81"/>
      <x:c r="H78" s="80"/>
      <x:c r="I78" s="80"/>
      <x:c r="K78" s="80"/>
      <x:c r="Q78" s="80"/>
    </x:row>
    <x:row r="79">
      <x:c r="C79" s="80"/>
      <x:c r="D79" s="81"/>
      <x:c r="H79" s="80"/>
      <x:c r="I79" s="80"/>
      <x:c r="K79" s="80"/>
      <x:c r="Q79" s="80"/>
    </x:row>
    <x:row r="80">
      <x:c r="C80" s="80"/>
      <x:c r="D80" s="81"/>
      <x:c r="H80" s="80"/>
      <x:c r="I80" s="80"/>
      <x:c r="K80" s="80"/>
      <x:c r="Q80" s="80"/>
    </x:row>
    <x:row r="81">
      <x:c r="C81" s="80"/>
      <x:c r="D81" s="81"/>
      <x:c r="H81" s="80"/>
      <x:c r="I81" s="80"/>
      <x:c r="K81" s="80"/>
      <x:c r="Q81" s="80"/>
    </x:row>
    <x:row r="82">
      <x:c r="C82" s="80"/>
      <x:c r="D82" s="81"/>
      <x:c r="H82" s="80"/>
      <x:c r="I82" s="80"/>
      <x:c r="K82" s="80"/>
      <x:c r="Q82" s="80"/>
    </x:row>
    <x:row r="83">
      <x:c r="C83" s="80"/>
      <x:c r="D83" s="81"/>
      <x:c r="H83" s="80"/>
      <x:c r="I83" s="80"/>
      <x:c r="K83" s="80"/>
      <x:c r="Q83" s="80"/>
    </x:row>
    <x:row r="84">
      <x:c r="C84" s="80"/>
      <x:c r="D84" s="81"/>
      <x:c r="H84" s="80"/>
      <x:c r="I84" s="80"/>
      <x:c r="K84" s="80"/>
      <x:c r="Q84" s="80"/>
    </x:row>
    <x:row r="85">
      <x:c r="C85" s="80"/>
      <x:c r="D85" s="81"/>
      <x:c r="H85" s="80"/>
      <x:c r="I85" s="80"/>
      <x:c r="K85" s="80"/>
      <x:c r="Q85" s="80"/>
    </x:row>
    <x:row r="86">
      <x:c r="C86" s="80"/>
      <x:c r="D86" s="81"/>
      <x:c r="H86" s="80"/>
      <x:c r="I86" s="80"/>
      <x:c r="K86" s="80"/>
      <x:c r="Q86" s="80"/>
    </x:row>
    <x:row r="87">
      <x:c r="C87" s="80"/>
      <x:c r="D87" s="81"/>
      <x:c r="H87" s="80"/>
      <x:c r="I87" s="80"/>
      <x:c r="K87" s="80"/>
      <x:c r="Q87" s="80"/>
    </x:row>
    <x:row r="88">
      <x:c r="C88" s="80"/>
      <x:c r="D88" s="81"/>
      <x:c r="H88" s="80"/>
      <x:c r="I88" s="80"/>
      <x:c r="K88" s="80"/>
      <x:c r="Q88" s="80"/>
    </x:row>
    <x:row r="89">
      <x:c r="C89" s="80"/>
      <x:c r="D89" s="81"/>
      <x:c r="H89" s="80"/>
      <x:c r="I89" s="80"/>
      <x:c r="K89" s="80"/>
      <x:c r="Q89" s="80"/>
    </x:row>
    <x:row r="90">
      <x:c r="C90" s="80"/>
      <x:c r="D90" s="81"/>
      <x:c r="H90" s="80"/>
      <x:c r="I90" s="80"/>
      <x:c r="K90" s="80"/>
      <x:c r="Q90" s="80"/>
    </x:row>
    <x:row r="91">
      <x:c r="C91" s="80"/>
      <x:c r="D91" s="81"/>
      <x:c r="H91" s="80"/>
      <x:c r="I91" s="80"/>
      <x:c r="K91" s="80"/>
      <x:c r="Q91" s="80"/>
    </x:row>
    <x:row r="92">
      <x:c r="C92" s="80"/>
      <x:c r="D92" s="81"/>
      <x:c r="H92" s="80"/>
      <x:c r="I92" s="80"/>
      <x:c r="K92" s="80"/>
      <x:c r="Q92" s="80"/>
    </x:row>
    <x:row r="93">
      <x:c r="C93" s="80"/>
      <x:c r="D93" s="81"/>
      <x:c r="H93" s="80"/>
      <x:c r="I93" s="80"/>
      <x:c r="K93" s="80"/>
      <x:c r="Q93" s="80"/>
    </x:row>
    <x:row r="94">
      <x:c r="C94" s="80"/>
      <x:c r="D94" s="81"/>
      <x:c r="H94" s="80"/>
      <x:c r="I94" s="80"/>
      <x:c r="K94" s="80"/>
      <x:c r="Q94" s="80"/>
    </x:row>
    <x:row r="95">
      <x:c r="C95" s="80"/>
      <x:c r="D95" s="81"/>
      <x:c r="H95" s="80"/>
      <x:c r="I95" s="80"/>
      <x:c r="K95" s="80"/>
      <x:c r="Q95" s="80"/>
    </x:row>
    <x:row r="96">
      <x:c r="C96" s="80"/>
      <x:c r="D96" s="81"/>
      <x:c r="H96" s="80"/>
      <x:c r="I96" s="80"/>
      <x:c r="K96" s="80"/>
      <x:c r="Q96" s="80"/>
    </x:row>
    <x:row r="97">
      <x:c r="C97" s="80"/>
      <x:c r="D97" s="81"/>
      <x:c r="H97" s="80"/>
      <x:c r="I97" s="80"/>
      <x:c r="K97" s="80"/>
      <x:c r="Q97" s="80"/>
    </x:row>
    <x:row r="98">
      <x:c r="C98" s="80"/>
      <x:c r="D98" s="81"/>
      <x:c r="H98" s="80"/>
      <x:c r="I98" s="80"/>
      <x:c r="K98" s="80"/>
      <x:c r="Q98" s="80"/>
    </x:row>
    <x:row r="99">
      <x:c r="C99" s="80"/>
      <x:c r="D99" s="81"/>
      <x:c r="H99" s="80"/>
      <x:c r="I99" s="80"/>
      <x:c r="K99" s="80"/>
      <x:c r="Q99" s="80"/>
    </x:row>
    <x:row r="100">
      <x:c r="C100" s="80"/>
      <x:c r="D100" s="81"/>
      <x:c r="H100" s="80"/>
      <x:c r="I100" s="80"/>
      <x:c r="K100" s="80"/>
      <x:c r="Q100" s="80"/>
    </x:row>
    <x:row r="101">
      <x:c r="C101" s="80"/>
      <x:c r="D101" s="81"/>
      <x:c r="H101" s="80"/>
      <x:c r="I101" s="80"/>
      <x:c r="K101" s="80"/>
      <x:c r="Q101" s="80"/>
    </x:row>
    <x:row r="102">
      <x:c r="C102" s="80"/>
      <x:c r="D102" s="81"/>
      <x:c r="H102" s="80"/>
      <x:c r="I102" s="80"/>
      <x:c r="K102" s="80"/>
      <x:c r="Q102" s="80"/>
    </x:row>
    <x:row r="103">
      <x:c r="C103" s="80"/>
      <x:c r="D103" s="81"/>
      <x:c r="H103" s="80"/>
      <x:c r="I103" s="80"/>
      <x:c r="K103" s="80"/>
      <x:c r="Q103" s="80"/>
    </x:row>
    <x:row r="104">
      <x:c r="C104" s="80"/>
      <x:c r="D104" s="81"/>
      <x:c r="H104" s="80"/>
      <x:c r="I104" s="80"/>
      <x:c r="K104" s="80"/>
      <x:c r="Q104" s="80"/>
    </x:row>
    <x:row r="105">
      <x:c r="C105" s="80"/>
      <x:c r="D105" s="81"/>
      <x:c r="H105" s="80"/>
      <x:c r="I105" s="80"/>
      <x:c r="K105" s="80"/>
      <x:c r="Q105" s="80"/>
    </x:row>
    <x:row r="106">
      <x:c r="C106" s="80"/>
      <x:c r="D106" s="81"/>
      <x:c r="H106" s="80"/>
      <x:c r="I106" s="80"/>
      <x:c r="K106" s="80"/>
      <x:c r="Q106" s="80"/>
    </x:row>
    <x:row r="107">
      <x:c r="C107" s="80"/>
      <x:c r="D107" s="81"/>
      <x:c r="H107" s="80"/>
      <x:c r="I107" s="80"/>
      <x:c r="K107" s="80"/>
      <x:c r="Q107" s="80"/>
    </x:row>
    <x:row r="108">
      <x:c r="C108" s="80"/>
      <x:c r="D108" s="81"/>
      <x:c r="H108" s="80"/>
      <x:c r="I108" s="80"/>
      <x:c r="K108" s="80"/>
      <x:c r="Q108" s="80"/>
    </x:row>
    <x:row r="109">
      <x:c r="C109" s="80"/>
      <x:c r="D109" s="81"/>
      <x:c r="H109" s="80"/>
      <x:c r="I109" s="80"/>
      <x:c r="K109" s="80"/>
      <x:c r="Q109" s="80"/>
    </x:row>
    <x:row r="110">
      <x:c r="C110" s="80"/>
      <x:c r="D110" s="81"/>
      <x:c r="H110" s="80"/>
      <x:c r="I110" s="80"/>
      <x:c r="K110" s="80"/>
      <x:c r="Q110" s="80"/>
    </x:row>
    <x:row r="111">
      <x:c r="C111" s="80"/>
      <x:c r="D111" s="81"/>
      <x:c r="H111" s="80"/>
      <x:c r="I111" s="80"/>
      <x:c r="K111" s="80"/>
      <x:c r="Q111" s="80"/>
    </x:row>
    <x:row r="112">
      <x:c r="C112" s="80"/>
      <x:c r="D112" s="81"/>
      <x:c r="H112" s="80"/>
      <x:c r="I112" s="80"/>
      <x:c r="K112" s="80"/>
      <x:c r="Q112" s="80"/>
    </x:row>
    <x:row r="113">
      <x:c r="C113" s="80"/>
      <x:c r="D113" s="81"/>
      <x:c r="H113" s="80"/>
      <x:c r="I113" s="80"/>
      <x:c r="K113" s="80"/>
      <x:c r="Q113" s="80"/>
    </x:row>
    <x:row r="114">
      <x:c r="C114" s="80"/>
      <x:c r="D114" s="81"/>
      <x:c r="H114" s="80"/>
      <x:c r="I114" s="80"/>
      <x:c r="K114" s="80"/>
      <x:c r="Q114" s="80"/>
    </x:row>
    <x:row r="115">
      <x:c r="C115" s="80"/>
      <x:c r="D115" s="81"/>
      <x:c r="H115" s="80"/>
      <x:c r="I115" s="80"/>
      <x:c r="K115" s="80"/>
      <x:c r="Q115" s="80"/>
    </x:row>
    <x:row r="116">
      <x:c r="C116" s="80"/>
      <x:c r="D116" s="81"/>
      <x:c r="H116" s="80"/>
      <x:c r="I116" s="80"/>
      <x:c r="K116" s="80"/>
      <x:c r="Q116" s="80"/>
    </x:row>
    <x:row r="117">
      <x:c r="C117" s="80"/>
      <x:c r="D117" s="81"/>
      <x:c r="H117" s="80"/>
      <x:c r="I117" s="80"/>
      <x:c r="K117" s="80"/>
      <x:c r="Q117" s="80"/>
    </x:row>
    <x:row r="118">
      <x:c r="C118" s="80"/>
      <x:c r="D118" s="81"/>
      <x:c r="H118" s="80"/>
      <x:c r="I118" s="80"/>
      <x:c r="K118" s="80"/>
      <x:c r="Q118" s="80"/>
    </x:row>
    <x:row r="119">
      <x:c r="C119" s="80"/>
      <x:c r="D119" s="81"/>
      <x:c r="H119" s="80"/>
      <x:c r="I119" s="80"/>
      <x:c r="K119" s="80"/>
      <x:c r="Q119" s="80"/>
    </x:row>
    <x:row r="120">
      <x:c r="C120" s="80"/>
      <x:c r="D120" s="81"/>
      <x:c r="H120" s="80"/>
      <x:c r="I120" s="80"/>
      <x:c r="K120" s="80"/>
      <x:c r="Q120" s="80"/>
    </x:row>
    <x:row r="121">
      <x:c r="C121" s="80"/>
      <x:c r="D121" s="81"/>
      <x:c r="H121" s="80"/>
      <x:c r="I121" s="80"/>
      <x:c r="K121" s="80"/>
      <x:c r="Q121" s="80"/>
    </x:row>
    <x:row r="122">
      <x:c r="C122" s="80"/>
      <x:c r="D122" s="81"/>
      <x:c r="H122" s="80"/>
      <x:c r="I122" s="80"/>
      <x:c r="K122" s="80"/>
      <x:c r="Q122" s="80"/>
    </x:row>
    <x:row r="123">
      <x:c r="C123" s="80"/>
      <x:c r="D123" s="81"/>
      <x:c r="H123" s="80"/>
      <x:c r="I123" s="80"/>
      <x:c r="K123" s="80"/>
      <x:c r="Q123" s="80"/>
    </x:row>
    <x:row r="124">
      <x:c r="C124" s="80"/>
      <x:c r="D124" s="81"/>
      <x:c r="H124" s="80"/>
      <x:c r="I124" s="80"/>
      <x:c r="K124" s="80"/>
      <x:c r="Q124" s="80"/>
    </x:row>
    <x:row r="125">
      <x:c r="C125" s="80"/>
      <x:c r="D125" s="81"/>
      <x:c r="H125" s="80"/>
      <x:c r="I125" s="80"/>
      <x:c r="K125" s="80"/>
      <x:c r="Q125" s="80"/>
    </x:row>
    <x:row r="126">
      <x:c r="C126" s="80"/>
      <x:c r="D126" s="81"/>
      <x:c r="H126" s="80"/>
      <x:c r="I126" s="80"/>
      <x:c r="K126" s="80"/>
      <x:c r="Q126" s="80"/>
    </x:row>
    <x:row r="127">
      <x:c r="C127" s="80"/>
      <x:c r="D127" s="81"/>
      <x:c r="H127" s="80"/>
      <x:c r="I127" s="80"/>
      <x:c r="K127" s="80"/>
      <x:c r="Q127" s="80"/>
    </x:row>
    <x:row r="128">
      <x:c r="C128" s="80"/>
      <x:c r="D128" s="81"/>
      <x:c r="H128" s="80"/>
      <x:c r="I128" s="80"/>
      <x:c r="K128" s="80"/>
      <x:c r="Q128" s="80"/>
    </x:row>
    <x:row r="129">
      <x:c r="C129" s="80"/>
      <x:c r="D129" s="81"/>
      <x:c r="H129" s="80"/>
      <x:c r="I129" s="80"/>
      <x:c r="K129" s="80"/>
      <x:c r="Q129" s="80"/>
    </x:row>
    <x:row r="130">
      <x:c r="C130" s="80"/>
      <x:c r="D130" s="81"/>
      <x:c r="H130" s="80"/>
      <x:c r="I130" s="80"/>
      <x:c r="K130" s="80"/>
      <x:c r="Q130" s="80"/>
    </x:row>
    <x:row r="131">
      <x:c r="C131" s="80"/>
      <x:c r="D131" s="81"/>
      <x:c r="H131" s="80"/>
      <x:c r="I131" s="80"/>
      <x:c r="K131" s="80"/>
      <x:c r="Q131" s="80"/>
    </x:row>
    <x:row r="132">
      <x:c r="C132" s="80"/>
      <x:c r="D132" s="81"/>
      <x:c r="H132" s="80"/>
      <x:c r="I132" s="80"/>
      <x:c r="K132" s="80"/>
      <x:c r="Q132" s="80"/>
    </x:row>
    <x:row r="133">
      <x:c r="C133" s="80"/>
      <x:c r="D133" s="81"/>
      <x:c r="H133" s="80"/>
      <x:c r="I133" s="80"/>
      <x:c r="K133" s="80"/>
      <x:c r="Q133" s="80"/>
    </x:row>
    <x:row r="134">
      <x:c r="C134" s="80"/>
      <x:c r="D134" s="81"/>
      <x:c r="H134" s="80"/>
      <x:c r="I134" s="80"/>
      <x:c r="K134" s="80"/>
      <x:c r="Q134" s="80"/>
    </x:row>
    <x:row r="135">
      <x:c r="C135" s="80"/>
      <x:c r="D135" s="81"/>
      <x:c r="H135" s="80"/>
      <x:c r="I135" s="80"/>
      <x:c r="K135" s="80"/>
      <x:c r="Q135" s="80"/>
    </x:row>
    <x:row r="136">
      <x:c r="C136" s="80"/>
      <x:c r="D136" s="81"/>
      <x:c r="H136" s="80"/>
      <x:c r="I136" s="80"/>
      <x:c r="K136" s="80"/>
      <x:c r="Q136" s="80"/>
    </x:row>
    <x:row r="137">
      <x:c r="C137" s="80"/>
      <x:c r="D137" s="81"/>
      <x:c r="H137" s="80"/>
      <x:c r="I137" s="80"/>
      <x:c r="K137" s="80"/>
      <x:c r="Q137" s="80"/>
    </x:row>
    <x:row r="138">
      <x:c r="C138" s="80"/>
      <x:c r="D138" s="81"/>
      <x:c r="H138" s="80"/>
      <x:c r="I138" s="80"/>
      <x:c r="K138" s="80"/>
      <x:c r="Q138" s="80"/>
    </x:row>
    <x:row r="139">
      <x:c r="C139" s="80"/>
      <x:c r="D139" s="81"/>
      <x:c r="H139" s="80"/>
      <x:c r="I139" s="80"/>
      <x:c r="K139" s="80"/>
      <x:c r="Q139" s="80"/>
    </x:row>
    <x:row r="140">
      <x:c r="C140" s="80"/>
      <x:c r="D140" s="81"/>
      <x:c r="H140" s="80"/>
      <x:c r="I140" s="80"/>
      <x:c r="K140" s="80"/>
      <x:c r="Q140" s="80"/>
    </x:row>
    <x:row r="141">
      <x:c r="C141" s="80"/>
      <x:c r="D141" s="81"/>
      <x:c r="H141" s="80"/>
      <x:c r="I141" s="80"/>
      <x:c r="K141" s="80"/>
      <x:c r="Q141" s="80"/>
    </x:row>
    <x:row r="142">
      <x:c r="C142" s="80"/>
      <x:c r="D142" s="81"/>
      <x:c r="H142" s="80"/>
      <x:c r="I142" s="80"/>
      <x:c r="K142" s="80"/>
      <x:c r="Q142" s="80"/>
    </x:row>
    <x:row r="143">
      <x:c r="C143" s="80"/>
      <x:c r="D143" s="81"/>
      <x:c r="H143" s="80"/>
      <x:c r="I143" s="80"/>
      <x:c r="K143" s="80"/>
      <x:c r="Q143" s="80"/>
    </x:row>
    <x:row r="144">
      <x:c r="C144" s="80"/>
      <x:c r="D144" s="81"/>
      <x:c r="H144" s="80"/>
      <x:c r="I144" s="80"/>
      <x:c r="K144" s="80"/>
      <x:c r="Q144" s="80"/>
    </x:row>
    <x:row r="145">
      <x:c r="C145" s="80"/>
      <x:c r="D145" s="81"/>
      <x:c r="H145" s="80"/>
      <x:c r="I145" s="80"/>
      <x:c r="K145" s="80"/>
      <x:c r="Q145" s="80"/>
    </x:row>
    <x:row r="146">
      <x:c r="C146" s="80"/>
      <x:c r="D146" s="81"/>
      <x:c r="H146" s="80"/>
      <x:c r="I146" s="80"/>
      <x:c r="K146" s="80"/>
      <x:c r="Q146" s="80"/>
    </x:row>
    <x:row r="147">
      <x:c r="C147" s="80"/>
      <x:c r="D147" s="81"/>
      <x:c r="H147" s="80"/>
      <x:c r="I147" s="80"/>
      <x:c r="K147" s="80"/>
      <x:c r="Q147" s="80"/>
    </x:row>
    <x:row r="148">
      <x:c r="C148" s="80"/>
      <x:c r="D148" s="81"/>
      <x:c r="H148" s="80"/>
      <x:c r="I148" s="80"/>
      <x:c r="K148" s="80"/>
      <x:c r="Q148" s="80"/>
    </x:row>
    <x:row r="149">
      <x:c r="C149" s="80"/>
      <x:c r="D149" s="81"/>
      <x:c r="H149" s="80"/>
      <x:c r="I149" s="80"/>
      <x:c r="K149" s="80"/>
      <x:c r="Q149" s="80"/>
    </x:row>
    <x:row r="150">
      <x:c r="C150" s="80"/>
      <x:c r="D150" s="81"/>
      <x:c r="H150" s="80"/>
      <x:c r="I150" s="80"/>
      <x:c r="K150" s="80"/>
      <x:c r="Q150" s="80"/>
    </x:row>
    <x:row r="151">
      <x:c r="C151" s="80"/>
      <x:c r="D151" s="81"/>
      <x:c r="H151" s="80"/>
      <x:c r="I151" s="80"/>
      <x:c r="K151" s="80"/>
      <x:c r="Q151" s="80"/>
    </x:row>
    <x:row r="152">
      <x:c r="C152" s="80"/>
      <x:c r="D152" s="81"/>
      <x:c r="H152" s="80"/>
      <x:c r="I152" s="80"/>
      <x:c r="K152" s="80"/>
      <x:c r="Q152" s="80"/>
    </x:row>
    <x:row r="153">
      <x:c r="C153" s="80"/>
      <x:c r="D153" s="81"/>
      <x:c r="H153" s="80"/>
      <x:c r="I153" s="80"/>
      <x:c r="K153" s="80"/>
      <x:c r="Q153" s="80"/>
    </x:row>
    <x:row r="154">
      <x:c r="C154" s="80"/>
      <x:c r="D154" s="81"/>
      <x:c r="H154" s="80"/>
      <x:c r="I154" s="80"/>
      <x:c r="K154" s="80"/>
      <x:c r="Q154" s="80"/>
    </x:row>
    <x:row r="155">
      <x:c r="C155" s="80"/>
      <x:c r="D155" s="81"/>
      <x:c r="H155" s="80"/>
      <x:c r="I155" s="80"/>
      <x:c r="K155" s="80"/>
      <x:c r="Q155" s="80"/>
    </x:row>
    <x:row r="156">
      <x:c r="C156" s="80"/>
      <x:c r="D156" s="81"/>
      <x:c r="H156" s="80"/>
      <x:c r="I156" s="80"/>
      <x:c r="K156" s="80"/>
      <x:c r="Q156" s="80"/>
    </x:row>
    <x:row r="157">
      <x:c r="C157" s="80"/>
      <x:c r="D157" s="81"/>
      <x:c r="H157" s="80"/>
      <x:c r="I157" s="80"/>
      <x:c r="K157" s="80"/>
      <x:c r="Q157" s="80"/>
    </x:row>
    <x:row r="158">
      <x:c r="C158" s="80"/>
      <x:c r="D158" s="81"/>
      <x:c r="H158" s="80"/>
      <x:c r="I158" s="80"/>
      <x:c r="K158" s="80"/>
      <x:c r="Q158" s="80"/>
    </x:row>
    <x:row r="159">
      <x:c r="C159" s="80"/>
      <x:c r="D159" s="81"/>
      <x:c r="H159" s="80"/>
      <x:c r="I159" s="80"/>
      <x:c r="K159" s="80"/>
      <x:c r="Q159" s="80"/>
    </x:row>
    <x:row r="160">
      <x:c r="C160" s="80"/>
      <x:c r="D160" s="81"/>
      <x:c r="H160" s="80"/>
      <x:c r="I160" s="80"/>
      <x:c r="K160" s="80"/>
      <x:c r="Q160" s="80"/>
    </x:row>
    <x:row r="161">
      <x:c r="C161" s="80"/>
      <x:c r="D161" s="81"/>
      <x:c r="H161" s="80"/>
      <x:c r="I161" s="80"/>
      <x:c r="K161" s="80"/>
      <x:c r="Q161" s="80"/>
    </x:row>
    <x:row r="162">
      <x:c r="C162" s="80"/>
      <x:c r="D162" s="81"/>
      <x:c r="H162" s="80"/>
      <x:c r="I162" s="80"/>
      <x:c r="K162" s="80"/>
      <x:c r="Q162" s="80"/>
    </x:row>
    <x:row r="163">
      <x:c r="C163" s="80"/>
      <x:c r="D163" s="81"/>
      <x:c r="H163" s="80"/>
      <x:c r="I163" s="80"/>
      <x:c r="K163" s="80"/>
      <x:c r="Q163" s="80"/>
    </x:row>
    <x:row r="164">
      <x:c r="C164" s="80"/>
      <x:c r="D164" s="81"/>
      <x:c r="H164" s="80"/>
      <x:c r="I164" s="80"/>
      <x:c r="K164" s="80"/>
      <x:c r="Q164" s="80"/>
    </x:row>
    <x:row r="165">
      <x:c r="C165" s="80"/>
      <x:c r="D165" s="81"/>
      <x:c r="H165" s="80"/>
      <x:c r="I165" s="80"/>
      <x:c r="K165" s="80"/>
      <x:c r="Q165" s="80"/>
    </x:row>
    <x:row r="166">
      <x:c r="C166" s="80"/>
      <x:c r="D166" s="81"/>
      <x:c r="H166" s="80"/>
      <x:c r="I166" s="80"/>
      <x:c r="K166" s="80"/>
      <x:c r="Q166" s="80"/>
    </x:row>
    <x:row r="167">
      <x:c r="C167" s="80"/>
      <x:c r="D167" s="81"/>
      <x:c r="H167" s="80"/>
      <x:c r="I167" s="80"/>
      <x:c r="K167" s="80"/>
      <x:c r="Q167" s="80"/>
    </x:row>
    <x:row r="168">
      <x:c r="C168" s="80"/>
      <x:c r="D168" s="81"/>
      <x:c r="H168" s="80"/>
      <x:c r="I168" s="80"/>
      <x:c r="K168" s="80"/>
      <x:c r="Q168" s="80"/>
    </x:row>
    <x:row r="169">
      <x:c r="C169" s="80"/>
      <x:c r="D169" s="81"/>
      <x:c r="H169" s="80"/>
      <x:c r="I169" s="80"/>
      <x:c r="K169" s="80"/>
      <x:c r="Q169" s="80"/>
    </x:row>
    <x:row r="170">
      <x:c r="C170" s="80"/>
      <x:c r="D170" s="81"/>
      <x:c r="H170" s="80"/>
      <x:c r="I170" s="80"/>
      <x:c r="K170" s="80"/>
      <x:c r="Q170" s="80"/>
    </x:row>
    <x:row r="171">
      <x:c r="C171" s="80"/>
      <x:c r="D171" s="81"/>
      <x:c r="H171" s="80"/>
      <x:c r="I171" s="80"/>
      <x:c r="K171" s="80"/>
      <x:c r="Q171" s="80"/>
    </x:row>
    <x:row r="172">
      <x:c r="C172" s="80"/>
      <x:c r="D172" s="81"/>
      <x:c r="H172" s="80"/>
      <x:c r="I172" s="80"/>
      <x:c r="K172" s="80"/>
      <x:c r="Q172" s="80"/>
    </x:row>
    <x:row r="173">
      <x:c r="C173" s="80"/>
      <x:c r="D173" s="81"/>
      <x:c r="H173" s="80"/>
      <x:c r="I173" s="80"/>
      <x:c r="K173" s="80"/>
      <x:c r="Q173" s="80"/>
    </x:row>
    <x:row r="174">
      <x:c r="C174" s="80"/>
      <x:c r="D174" s="81"/>
      <x:c r="H174" s="80"/>
      <x:c r="I174" s="80"/>
      <x:c r="K174" s="80"/>
      <x:c r="Q174" s="80"/>
    </x:row>
    <x:row r="175">
      <x:c r="C175" s="80"/>
      <x:c r="D175" s="81"/>
      <x:c r="H175" s="80"/>
      <x:c r="I175" s="80"/>
      <x:c r="K175" s="80"/>
      <x:c r="Q175" s="80"/>
    </x:row>
    <x:row r="176">
      <x:c r="C176" s="80"/>
      <x:c r="D176" s="81"/>
      <x:c r="H176" s="80"/>
      <x:c r="I176" s="80"/>
      <x:c r="K176" s="80"/>
      <x:c r="Q176" s="80"/>
    </x:row>
    <x:row r="177">
      <x:c r="C177" s="80"/>
      <x:c r="D177" s="81"/>
      <x:c r="H177" s="80"/>
      <x:c r="I177" s="80"/>
      <x:c r="K177" s="80"/>
      <x:c r="Q177" s="80"/>
    </x:row>
    <x:row r="178">
      <x:c r="C178" s="80"/>
      <x:c r="D178" s="81"/>
      <x:c r="H178" s="80"/>
      <x:c r="I178" s="80"/>
      <x:c r="K178" s="80"/>
      <x:c r="Q178" s="80"/>
    </x:row>
    <x:row r="179">
      <x:c r="C179" s="80"/>
      <x:c r="D179" s="81"/>
      <x:c r="H179" s="80"/>
      <x:c r="I179" s="80"/>
      <x:c r="K179" s="80"/>
      <x:c r="Q179" s="80"/>
    </x:row>
    <x:row r="180">
      <x:c r="C180" s="80"/>
      <x:c r="D180" s="81"/>
      <x:c r="H180" s="80"/>
      <x:c r="I180" s="80"/>
      <x:c r="K180" s="80"/>
      <x:c r="Q180" s="80"/>
    </x:row>
    <x:row r="181">
      <x:c r="C181" s="80"/>
      <x:c r="D181" s="81"/>
      <x:c r="H181" s="80"/>
      <x:c r="I181" s="80"/>
      <x:c r="K181" s="80"/>
      <x:c r="Q181" s="80"/>
    </x:row>
    <x:row r="182">
      <x:c r="C182" s="80"/>
      <x:c r="D182" s="81"/>
      <x:c r="H182" s="80"/>
      <x:c r="I182" s="80"/>
      <x:c r="K182" s="80"/>
      <x:c r="Q182" s="80"/>
    </x:row>
    <x:row r="183">
      <x:c r="C183" s="80"/>
      <x:c r="D183" s="81"/>
      <x:c r="H183" s="80"/>
      <x:c r="I183" s="80"/>
      <x:c r="K183" s="80"/>
      <x:c r="Q183" s="80"/>
    </x:row>
    <x:row r="184">
      <x:c r="C184" s="80"/>
      <x:c r="D184" s="81"/>
      <x:c r="H184" s="80"/>
      <x:c r="I184" s="80"/>
      <x:c r="K184" s="80"/>
      <x:c r="Q184" s="80"/>
    </x:row>
    <x:row r="185">
      <x:c r="C185" s="80"/>
      <x:c r="D185" s="81"/>
      <x:c r="H185" s="80"/>
      <x:c r="I185" s="80"/>
      <x:c r="K185" s="80"/>
      <x:c r="Q185" s="80"/>
    </x:row>
    <x:row r="186">
      <x:c r="C186" s="80"/>
      <x:c r="D186" s="81"/>
      <x:c r="H186" s="80"/>
      <x:c r="I186" s="80"/>
      <x:c r="K186" s="80"/>
      <x:c r="Q186" s="80"/>
    </x:row>
    <x:row r="187">
      <x:c r="C187" s="80"/>
      <x:c r="D187" s="81"/>
      <x:c r="H187" s="80"/>
      <x:c r="I187" s="80"/>
      <x:c r="K187" s="80"/>
      <x:c r="Q187" s="80"/>
    </x:row>
    <x:row r="188">
      <x:c r="C188" s="80"/>
      <x:c r="D188" s="81"/>
      <x:c r="H188" s="80"/>
      <x:c r="I188" s="80"/>
      <x:c r="K188" s="80"/>
      <x:c r="Q188" s="80"/>
    </x:row>
    <x:row r="189">
      <x:c r="C189" s="80"/>
      <x:c r="D189" s="81"/>
      <x:c r="H189" s="80"/>
      <x:c r="I189" s="80"/>
      <x:c r="K189" s="80"/>
      <x:c r="Q189" s="80"/>
    </x:row>
    <x:row r="190">
      <x:c r="C190" s="80"/>
      <x:c r="D190" s="81"/>
      <x:c r="H190" s="80"/>
      <x:c r="I190" s="80"/>
      <x:c r="K190" s="80"/>
      <x:c r="Q190" s="80"/>
    </x:row>
    <x:row r="191">
      <x:c r="C191" s="80"/>
      <x:c r="D191" s="81"/>
      <x:c r="H191" s="80"/>
      <x:c r="I191" s="80"/>
      <x:c r="K191" s="80"/>
      <x:c r="Q191" s="80"/>
    </x:row>
    <x:row r="192">
      <x:c r="C192" s="80"/>
      <x:c r="D192" s="81"/>
      <x:c r="H192" s="80"/>
      <x:c r="I192" s="80"/>
      <x:c r="K192" s="80"/>
      <x:c r="Q192" s="80"/>
    </x:row>
    <x:row r="193">
      <x:c r="C193" s="80"/>
      <x:c r="D193" s="81"/>
      <x:c r="H193" s="80"/>
      <x:c r="I193" s="80"/>
      <x:c r="K193" s="80"/>
      <x:c r="Q193" s="80"/>
    </x:row>
    <x:row r="194">
      <x:c r="C194" s="80"/>
      <x:c r="D194" s="81"/>
      <x:c r="H194" s="80"/>
      <x:c r="I194" s="80"/>
      <x:c r="K194" s="80"/>
      <x:c r="Q194" s="80"/>
    </x:row>
    <x:row r="195">
      <x:c r="C195" s="80"/>
      <x:c r="D195" s="81"/>
      <x:c r="H195" s="80"/>
      <x:c r="I195" s="80"/>
      <x:c r="K195" s="80"/>
      <x:c r="Q195" s="80"/>
    </x:row>
    <x:row r="196">
      <x:c r="C196" s="80"/>
      <x:c r="D196" s="81"/>
      <x:c r="H196" s="80"/>
      <x:c r="I196" s="80"/>
      <x:c r="K196" s="80"/>
      <x:c r="Q196" s="80"/>
    </x:row>
    <x:row r="197">
      <x:c r="C197" s="80"/>
      <x:c r="D197" s="81"/>
      <x:c r="H197" s="80"/>
      <x:c r="I197" s="80"/>
      <x:c r="K197" s="80"/>
      <x:c r="Q197" s="80"/>
    </x:row>
    <x:row r="198">
      <x:c r="C198" s="80"/>
      <x:c r="D198" s="81"/>
      <x:c r="H198" s="80"/>
      <x:c r="I198" s="80"/>
      <x:c r="K198" s="80"/>
      <x:c r="Q198" s="80"/>
    </x:row>
    <x:row r="199">
      <x:c r="C199" s="80"/>
      <x:c r="D199" s="81"/>
      <x:c r="H199" s="80"/>
      <x:c r="I199" s="80"/>
      <x:c r="K199" s="80"/>
      <x:c r="Q199" s="80"/>
    </x:row>
    <x:row r="200">
      <x:c r="C200" s="80"/>
      <x:c r="D200" s="81"/>
      <x:c r="H200" s="80"/>
      <x:c r="I200" s="80"/>
      <x:c r="K200" s="80"/>
      <x:c r="Q200" s="80"/>
    </x:row>
    <x:row r="201">
      <x:c r="C201" s="80"/>
      <x:c r="D201" s="81"/>
      <x:c r="H201" s="80"/>
      <x:c r="I201" s="80"/>
      <x:c r="K201" s="80"/>
      <x:c r="Q201" s="80"/>
    </x:row>
    <x:row r="202">
      <x:c r="C202" s="80"/>
      <x:c r="D202" s="81"/>
      <x:c r="H202" s="80"/>
      <x:c r="I202" s="80"/>
      <x:c r="K202" s="80"/>
      <x:c r="Q202" s="80"/>
    </x:row>
    <x:row r="203">
      <x:c r="C203" s="80"/>
      <x:c r="D203" s="81"/>
      <x:c r="H203" s="80"/>
      <x:c r="I203" s="80"/>
      <x:c r="K203" s="80"/>
      <x:c r="Q203" s="80"/>
    </x:row>
    <x:row r="204">
      <x:c r="C204" s="80"/>
      <x:c r="D204" s="81"/>
      <x:c r="H204" s="80"/>
      <x:c r="I204" s="80"/>
      <x:c r="K204" s="80"/>
      <x:c r="Q204" s="80"/>
    </x:row>
    <x:row r="205">
      <x:c r="C205" s="80"/>
      <x:c r="D205" s="81"/>
      <x:c r="H205" s="80"/>
      <x:c r="I205" s="80"/>
      <x:c r="K205" s="80"/>
      <x:c r="Q205" s="80"/>
    </x:row>
    <x:row r="206">
      <x:c r="C206" s="80"/>
      <x:c r="D206" s="81"/>
      <x:c r="H206" s="80"/>
      <x:c r="I206" s="80"/>
      <x:c r="K206" s="80"/>
      <x:c r="Q206" s="80"/>
    </x:row>
    <x:row r="207">
      <x:c r="C207" s="80"/>
      <x:c r="D207" s="81"/>
      <x:c r="H207" s="80"/>
      <x:c r="I207" s="80"/>
      <x:c r="K207" s="80"/>
      <x:c r="Q207" s="80"/>
    </x:row>
    <x:row r="208">
      <x:c r="C208" s="80"/>
      <x:c r="D208" s="81"/>
      <x:c r="H208" s="80"/>
      <x:c r="I208" s="80"/>
      <x:c r="K208" s="80"/>
      <x:c r="Q208" s="80"/>
    </x:row>
    <x:row r="209">
      <x:c r="C209" s="80"/>
      <x:c r="D209" s="81"/>
      <x:c r="H209" s="80"/>
      <x:c r="I209" s="80"/>
      <x:c r="K209" s="80"/>
      <x:c r="Q209" s="80"/>
    </x:row>
    <x:row r="210">
      <x:c r="C210" s="80"/>
      <x:c r="D210" s="81"/>
      <x:c r="H210" s="80"/>
      <x:c r="I210" s="80"/>
      <x:c r="K210" s="80"/>
      <x:c r="Q210" s="80"/>
    </x:row>
    <x:row r="211">
      <x:c r="C211" s="80"/>
      <x:c r="D211" s="81"/>
      <x:c r="H211" s="80"/>
      <x:c r="I211" s="80"/>
      <x:c r="K211" s="80"/>
      <x:c r="Q211" s="80"/>
    </x:row>
    <x:row r="212">
      <x:c r="C212" s="80"/>
      <x:c r="D212" s="81"/>
      <x:c r="H212" s="80"/>
      <x:c r="I212" s="80"/>
      <x:c r="K212" s="80"/>
      <x:c r="Q212" s="80"/>
    </x:row>
    <x:row r="213">
      <x:c r="C213" s="80"/>
      <x:c r="D213" s="81"/>
      <x:c r="H213" s="80"/>
      <x:c r="I213" s="80"/>
      <x:c r="K213" s="80"/>
      <x:c r="Q213" s="80"/>
    </x:row>
    <x:row r="214">
      <x:c r="C214" s="80"/>
      <x:c r="D214" s="81"/>
      <x:c r="H214" s="80"/>
      <x:c r="I214" s="80"/>
      <x:c r="K214" s="80"/>
      <x:c r="Q214" s="80"/>
    </x:row>
    <x:row r="215">
      <x:c r="C215" s="80"/>
      <x:c r="D215" s="81"/>
      <x:c r="H215" s="80"/>
      <x:c r="I215" s="80"/>
      <x:c r="K215" s="80"/>
      <x:c r="Q215" s="80"/>
    </x:row>
    <x:row r="216">
      <x:c r="C216" s="80"/>
      <x:c r="D216" s="81"/>
      <x:c r="H216" s="80"/>
      <x:c r="I216" s="80"/>
      <x:c r="K216" s="80"/>
      <x:c r="Q216" s="80"/>
    </x:row>
    <x:row r="217">
      <x:c r="C217" s="80"/>
      <x:c r="D217" s="81"/>
      <x:c r="H217" s="80"/>
      <x:c r="I217" s="80"/>
      <x:c r="K217" s="80"/>
      <x:c r="Q217" s="80"/>
    </x:row>
    <x:row r="218">
      <x:c r="C218" s="80"/>
      <x:c r="D218" s="81"/>
      <x:c r="H218" s="80"/>
      <x:c r="I218" s="80"/>
      <x:c r="K218" s="80"/>
      <x:c r="Q218" s="80"/>
    </x:row>
    <x:row r="219">
      <x:c r="C219" s="80"/>
      <x:c r="D219" s="81"/>
      <x:c r="H219" s="80"/>
      <x:c r="I219" s="80"/>
      <x:c r="K219" s="80"/>
      <x:c r="Q219" s="80"/>
    </x:row>
    <x:row r="220">
      <x:c r="C220" s="80"/>
      <x:c r="D220" s="81"/>
      <x:c r="H220" s="80"/>
      <x:c r="I220" s="80"/>
      <x:c r="K220" s="80"/>
      <x:c r="Q220" s="80"/>
    </x:row>
    <x:row r="221">
      <x:c r="C221" s="80"/>
      <x:c r="D221" s="81"/>
      <x:c r="H221" s="80"/>
      <x:c r="I221" s="80"/>
      <x:c r="K221" s="80"/>
      <x:c r="Q221" s="80"/>
    </x:row>
    <x:row r="222">
      <x:c r="C222" s="80"/>
      <x:c r="D222" s="81"/>
      <x:c r="H222" s="80"/>
      <x:c r="I222" s="80"/>
      <x:c r="K222" s="80"/>
      <x:c r="Q222" s="80"/>
    </x:row>
    <x:row r="223">
      <x:c r="C223" s="80"/>
      <x:c r="D223" s="81"/>
      <x:c r="H223" s="80"/>
      <x:c r="I223" s="80"/>
      <x:c r="K223" s="80"/>
      <x:c r="Q223" s="80"/>
    </x:row>
    <x:row r="224">
      <x:c r="C224" s="80"/>
      <x:c r="D224" s="81"/>
      <x:c r="H224" s="80"/>
      <x:c r="I224" s="80"/>
      <x:c r="K224" s="80"/>
      <x:c r="Q224" s="80"/>
    </x:row>
    <x:row r="225">
      <x:c r="C225" s="80"/>
      <x:c r="D225" s="81"/>
      <x:c r="H225" s="80"/>
      <x:c r="I225" s="80"/>
      <x:c r="K225" s="80"/>
      <x:c r="Q225" s="80"/>
    </x:row>
    <x:row r="226">
      <x:c r="C226" s="80"/>
      <x:c r="D226" s="81"/>
      <x:c r="H226" s="80"/>
      <x:c r="I226" s="80"/>
      <x:c r="K226" s="80"/>
      <x:c r="Q226" s="80"/>
    </x:row>
    <x:row r="227">
      <x:c r="C227" s="80"/>
      <x:c r="D227" s="81"/>
      <x:c r="H227" s="80"/>
      <x:c r="I227" s="80"/>
      <x:c r="K227" s="80"/>
      <x:c r="Q227" s="80"/>
    </x:row>
    <x:row r="228">
      <x:c r="C228" s="80"/>
      <x:c r="D228" s="81"/>
      <x:c r="H228" s="80"/>
      <x:c r="I228" s="80"/>
      <x:c r="K228" s="80"/>
      <x:c r="Q228" s="80"/>
    </x:row>
    <x:row r="229">
      <x:c r="C229" s="80"/>
      <x:c r="D229" s="81"/>
      <x:c r="H229" s="80"/>
      <x:c r="I229" s="80"/>
      <x:c r="K229" s="80"/>
      <x:c r="Q229" s="80"/>
    </x:row>
    <x:row r="230">
      <x:c r="C230" s="80"/>
      <x:c r="D230" s="81"/>
      <x:c r="H230" s="80"/>
      <x:c r="I230" s="80"/>
      <x:c r="K230" s="80"/>
      <x:c r="Q230" s="80"/>
    </x:row>
    <x:row r="231">
      <x:c r="C231" s="80"/>
      <x:c r="D231" s="81"/>
      <x:c r="H231" s="80"/>
      <x:c r="I231" s="80"/>
      <x:c r="K231" s="80"/>
      <x:c r="Q231" s="80"/>
    </x:row>
    <x:row r="232">
      <x:c r="C232" s="80"/>
      <x:c r="D232" s="81"/>
      <x:c r="H232" s="80"/>
      <x:c r="I232" s="80"/>
      <x:c r="K232" s="80"/>
      <x:c r="Q232" s="80"/>
    </x:row>
    <x:row r="233">
      <x:c r="C233" s="80"/>
      <x:c r="D233" s="81"/>
      <x:c r="H233" s="80"/>
      <x:c r="I233" s="80"/>
      <x:c r="K233" s="80"/>
      <x:c r="Q233" s="80"/>
    </x:row>
    <x:row r="234">
      <x:c r="C234" s="80"/>
      <x:c r="D234" s="81"/>
      <x:c r="H234" s="80"/>
      <x:c r="I234" s="80"/>
      <x:c r="K234" s="80"/>
      <x:c r="Q234" s="80"/>
    </x:row>
    <x:row r="235">
      <x:c r="C235" s="80"/>
      <x:c r="D235" s="81"/>
      <x:c r="H235" s="80"/>
      <x:c r="I235" s="80"/>
      <x:c r="K235" s="80"/>
      <x:c r="Q235" s="80"/>
    </x:row>
    <x:row r="236">
      <x:c r="C236" s="80"/>
      <x:c r="D236" s="81"/>
      <x:c r="H236" s="80"/>
      <x:c r="I236" s="80"/>
      <x:c r="K236" s="80"/>
      <x:c r="Q236" s="80"/>
    </x:row>
    <x:row r="237">
      <x:c r="C237" s="80"/>
      <x:c r="D237" s="81"/>
      <x:c r="H237" s="80"/>
      <x:c r="I237" s="80"/>
      <x:c r="K237" s="80"/>
      <x:c r="Q237" s="80"/>
    </x:row>
    <x:row r="238">
      <x:c r="C238" s="80"/>
      <x:c r="D238" s="81"/>
      <x:c r="H238" s="80"/>
      <x:c r="I238" s="80"/>
      <x:c r="K238" s="80"/>
      <x:c r="Q238" s="80"/>
    </x:row>
    <x:row r="239">
      <x:c r="C239" s="80"/>
      <x:c r="D239" s="81"/>
      <x:c r="H239" s="80"/>
      <x:c r="I239" s="80"/>
      <x:c r="K239" s="80"/>
      <x:c r="Q239" s="80"/>
    </x:row>
    <x:row r="240">
      <x:c r="C240" s="80"/>
      <x:c r="D240" s="81"/>
      <x:c r="H240" s="80"/>
      <x:c r="I240" s="80"/>
      <x:c r="K240" s="80"/>
      <x:c r="Q240" s="80"/>
    </x:row>
    <x:row r="241">
      <x:c r="C241" s="80"/>
      <x:c r="D241" s="81"/>
      <x:c r="H241" s="80"/>
      <x:c r="I241" s="80"/>
      <x:c r="K241" s="80"/>
      <x:c r="Q241" s="80"/>
    </x:row>
    <x:row r="242">
      <x:c r="C242" s="80"/>
      <x:c r="D242" s="81"/>
      <x:c r="H242" s="80"/>
      <x:c r="I242" s="80"/>
      <x:c r="K242" s="80"/>
      <x:c r="Q242" s="80"/>
    </x:row>
    <x:row r="243">
      <x:c r="C243" s="80"/>
      <x:c r="D243" s="81"/>
      <x:c r="H243" s="80"/>
      <x:c r="I243" s="80"/>
      <x:c r="K243" s="80"/>
      <x:c r="Q243" s="80"/>
    </x:row>
    <x:row r="244">
      <x:c r="C244" s="80"/>
      <x:c r="D244" s="81"/>
      <x:c r="H244" s="80"/>
      <x:c r="I244" s="80"/>
      <x:c r="K244" s="80"/>
      <x:c r="Q244" s="80"/>
    </x:row>
    <x:row r="245">
      <x:c r="C245" s="80"/>
      <x:c r="D245" s="81"/>
      <x:c r="H245" s="80"/>
      <x:c r="I245" s="80"/>
      <x:c r="K245" s="80"/>
      <x:c r="Q245" s="80"/>
    </x:row>
    <x:row r="246">
      <x:c r="C246" s="80"/>
      <x:c r="D246" s="81"/>
      <x:c r="H246" s="80"/>
      <x:c r="I246" s="80"/>
      <x:c r="K246" s="80"/>
      <x:c r="Q246" s="80"/>
    </x:row>
    <x:row r="247">
      <x:c r="C247" s="80"/>
      <x:c r="D247" s="81"/>
      <x:c r="H247" s="80"/>
      <x:c r="I247" s="80"/>
      <x:c r="K247" s="80"/>
      <x:c r="Q247" s="80"/>
    </x:row>
    <x:row r="248">
      <x:c r="C248" s="80"/>
      <x:c r="D248" s="81"/>
      <x:c r="H248" s="80"/>
      <x:c r="I248" s="80"/>
      <x:c r="K248" s="80"/>
      <x:c r="Q248" s="80"/>
    </x:row>
    <x:row r="249">
      <x:c r="C249" s="80"/>
      <x:c r="D249" s="81"/>
      <x:c r="H249" s="80"/>
      <x:c r="I249" s="80"/>
      <x:c r="K249" s="80"/>
      <x:c r="Q249" s="80"/>
    </x:row>
    <x:row r="250">
      <x:c r="C250" s="80"/>
      <x:c r="D250" s="81"/>
      <x:c r="H250" s="80"/>
      <x:c r="I250" s="80"/>
      <x:c r="K250" s="80"/>
      <x:c r="Q250" s="80"/>
    </x:row>
  </x:sheetData>
  <x:mergeCells>
    <x:mergeCell ref="A1:R1"/>
    <x:mergeCell ref="A2:R2"/>
  </x:mergeCells>
  <x:dataValidations count="2">
    <x:dataValidation type="list" sqref="F5:F250">
      <x:formula1>"Health and Welfare,Property and Financial Affairs,Enduring Power of Attorney,General Power of Attorney,Other"</x:formula1>
    </x:dataValidation>
    <x:dataValidation type="list" sqref="L5:L250">
      <x:formula1>"Unknown,Draft,Registered,Active,Revoked,Expired,Needs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69793a63494e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52" hidden="0" customWidth="1"/>
    <x:col min="4" max="4" width="24" hidden="0" customWidth="1"/>
    <x:col min="5" max="5" width="28" hidden="0" customWidth="1"/>
    <x:col min="6" max="6" width="14" hidden="0" customWidth="1"/>
    <x:col min="7" max="7" width="12" hidden="0" customWidth="1"/>
    <x:col min="8" max="8" width="18" hidden="0" customWidth="1"/>
    <x:col min="9" max="9" width="20" hidden="0" customWidth="1"/>
    <x:col min="10" max="10" width="12" hidden="0" customWidth="1"/>
    <x:col min="11" max="11" width="14" hidden="0" customWidth="1"/>
    <x:col min="12" max="12" width="42" hidden="0" customWidth="1"/>
    <x:col min="13" max="13" width="16" hidden="0" customWidth="1"/>
    <x:col min="14" max="14" width="34" hidden="0" customWidth="1"/>
  </x:cols>
  <x:sheetData>
    <x:row r="1" ht="32" customHeight="1">
      <x:c r="A1" s="75" t="str">
        <x:v>DOCUMENT INDEX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</x:row>
    <x:row r="2" ht="34" customHeight="1">
      <x:c r="A2" s="79" t="str">
        <x:v>One row per source PDF. File names and links provide an audit trail back to the original document.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4" ht="34" customHeight="1">
      <x:c r="A4" s="12" t="str">
        <x:v>DOCUMENT ID</x:v>
      </x:c>
      <x:c r="B4" s="13" t="str">
        <x:v>FILE NAME</x:v>
      </x:c>
      <x:c r="C4" s="13" t="str">
        <x:v>FILE PATH / DRIVE LINK</x:v>
      </x:c>
      <x:c r="D4" s="13" t="str">
        <x:v>DOCUMENT TYPE</x:v>
      </x:c>
      <x:c r="E4" s="13" t="str">
        <x:v>LINKED PERSON</x:v>
      </x:c>
      <x:c r="F4" s="13" t="str">
        <x:v>DOCUMENT DATE</x:v>
      </x:c>
      <x:c r="G4" s="13" t="str">
        <x:v>PAGE COUNT</x:v>
      </x:c>
      <x:c r="H4" s="13" t="str">
        <x:v>OCR STATUS</x:v>
      </x:c>
      <x:c r="I4" s="13" t="str">
        <x:v>EXTRACTION STATUS</x:v>
      </x:c>
      <x:c r="J4" s="13" t="str">
        <x:v>CONFIDENCE</x:v>
      </x:c>
      <x:c r="K4" s="13" t="str">
        <x:v>NEEDS REVIEW</x:v>
      </x:c>
      <x:c r="L4" s="13" t="str">
        <x:v>REVIEW REASON</x:v>
      </x:c>
      <x:c r="M4" s="13" t="str">
        <x:v>LAST PROCESSED</x:v>
      </x:c>
      <x:c r="N4" s="14" t="str">
        <x:v>FILE HASH</x:v>
      </x:c>
    </x:row>
    <x:row r="5">
      <x:c r="F5" s="80"/>
      <x:c r="G5" s="82"/>
      <x:c r="J5" s="83"/>
      <x:c r="M5" s="84"/>
    </x:row>
    <x:row r="6">
      <x:c r="F6" s="80"/>
      <x:c r="G6" s="82"/>
      <x:c r="J6" s="83"/>
      <x:c r="M6" s="84"/>
    </x:row>
    <x:row r="7">
      <x:c r="F7" s="80"/>
      <x:c r="G7" s="82"/>
      <x:c r="J7" s="83"/>
      <x:c r="M7" s="84"/>
    </x:row>
    <x:row r="8">
      <x:c r="F8" s="80"/>
      <x:c r="G8" s="82"/>
      <x:c r="J8" s="83"/>
      <x:c r="M8" s="84"/>
    </x:row>
    <x:row r="9">
      <x:c r="F9" s="80"/>
      <x:c r="G9" s="82"/>
      <x:c r="J9" s="83"/>
      <x:c r="M9" s="84"/>
    </x:row>
    <x:row r="10">
      <x:c r="F10" s="80"/>
      <x:c r="G10" s="82"/>
      <x:c r="J10" s="83"/>
      <x:c r="M10" s="84"/>
    </x:row>
    <x:row r="11">
      <x:c r="F11" s="80"/>
      <x:c r="G11" s="82"/>
      <x:c r="J11" s="83"/>
      <x:c r="M11" s="84"/>
    </x:row>
    <x:row r="12">
      <x:c r="F12" s="80"/>
      <x:c r="G12" s="82"/>
      <x:c r="J12" s="83"/>
      <x:c r="M12" s="84"/>
    </x:row>
    <x:row r="13">
      <x:c r="F13" s="80"/>
      <x:c r="G13" s="82"/>
      <x:c r="J13" s="83"/>
      <x:c r="M13" s="84"/>
    </x:row>
    <x:row r="14">
      <x:c r="F14" s="80"/>
      <x:c r="G14" s="82"/>
      <x:c r="J14" s="83"/>
      <x:c r="M14" s="84"/>
    </x:row>
    <x:row r="15">
      <x:c r="F15" s="80"/>
      <x:c r="G15" s="82"/>
      <x:c r="J15" s="83"/>
      <x:c r="M15" s="84"/>
    </x:row>
    <x:row r="16">
      <x:c r="F16" s="80"/>
      <x:c r="G16" s="82"/>
      <x:c r="J16" s="83"/>
      <x:c r="M16" s="84"/>
    </x:row>
    <x:row r="17">
      <x:c r="F17" s="80"/>
      <x:c r="G17" s="82"/>
      <x:c r="J17" s="83"/>
      <x:c r="M17" s="84"/>
    </x:row>
    <x:row r="18">
      <x:c r="F18" s="80"/>
      <x:c r="G18" s="82"/>
      <x:c r="J18" s="83"/>
      <x:c r="M18" s="84"/>
    </x:row>
    <x:row r="19">
      <x:c r="F19" s="80"/>
      <x:c r="G19" s="82"/>
      <x:c r="J19" s="83"/>
      <x:c r="M19" s="84"/>
    </x:row>
    <x:row r="20">
      <x:c r="F20" s="80"/>
      <x:c r="G20" s="82"/>
      <x:c r="J20" s="83"/>
      <x:c r="M20" s="84"/>
    </x:row>
    <x:row r="21">
      <x:c r="F21" s="80"/>
      <x:c r="G21" s="82"/>
      <x:c r="J21" s="83"/>
      <x:c r="M21" s="84"/>
    </x:row>
    <x:row r="22">
      <x:c r="F22" s="80"/>
      <x:c r="G22" s="82"/>
      <x:c r="J22" s="83"/>
      <x:c r="M22" s="84"/>
    </x:row>
    <x:row r="23">
      <x:c r="F23" s="80"/>
      <x:c r="G23" s="82"/>
      <x:c r="J23" s="83"/>
      <x:c r="M23" s="84"/>
    </x:row>
    <x:row r="24">
      <x:c r="F24" s="80"/>
      <x:c r="G24" s="82"/>
      <x:c r="J24" s="83"/>
      <x:c r="M24" s="84"/>
    </x:row>
    <x:row r="25">
      <x:c r="F25" s="80"/>
      <x:c r="G25" s="82"/>
      <x:c r="J25" s="83"/>
      <x:c r="M25" s="84"/>
    </x:row>
    <x:row r="26">
      <x:c r="F26" s="80"/>
      <x:c r="G26" s="82"/>
      <x:c r="J26" s="83"/>
      <x:c r="M26" s="84"/>
    </x:row>
    <x:row r="27">
      <x:c r="F27" s="80"/>
      <x:c r="G27" s="82"/>
      <x:c r="J27" s="83"/>
      <x:c r="M27" s="84"/>
    </x:row>
    <x:row r="28">
      <x:c r="F28" s="80"/>
      <x:c r="G28" s="82"/>
      <x:c r="J28" s="83"/>
      <x:c r="M28" s="84"/>
    </x:row>
    <x:row r="29">
      <x:c r="F29" s="80"/>
      <x:c r="G29" s="82"/>
      <x:c r="J29" s="83"/>
      <x:c r="M29" s="84"/>
    </x:row>
    <x:row r="30">
      <x:c r="F30" s="80"/>
      <x:c r="G30" s="82"/>
      <x:c r="J30" s="83"/>
      <x:c r="M30" s="84"/>
    </x:row>
    <x:row r="31">
      <x:c r="F31" s="80"/>
      <x:c r="G31" s="82"/>
      <x:c r="J31" s="83"/>
      <x:c r="M31" s="84"/>
    </x:row>
    <x:row r="32">
      <x:c r="F32" s="80"/>
      <x:c r="G32" s="82"/>
      <x:c r="J32" s="83"/>
      <x:c r="M32" s="84"/>
    </x:row>
    <x:row r="33">
      <x:c r="F33" s="80"/>
      <x:c r="G33" s="82"/>
      <x:c r="J33" s="83"/>
      <x:c r="M33" s="84"/>
    </x:row>
    <x:row r="34">
      <x:c r="F34" s="80"/>
      <x:c r="G34" s="82"/>
      <x:c r="J34" s="83"/>
      <x:c r="M34" s="84"/>
    </x:row>
    <x:row r="35">
      <x:c r="F35" s="80"/>
      <x:c r="G35" s="82"/>
      <x:c r="J35" s="83"/>
      <x:c r="M35" s="84"/>
    </x:row>
    <x:row r="36">
      <x:c r="F36" s="80"/>
      <x:c r="G36" s="82"/>
      <x:c r="J36" s="83"/>
      <x:c r="M36" s="84"/>
    </x:row>
    <x:row r="37">
      <x:c r="F37" s="80"/>
      <x:c r="G37" s="82"/>
      <x:c r="J37" s="83"/>
      <x:c r="M37" s="84"/>
    </x:row>
    <x:row r="38">
      <x:c r="F38" s="80"/>
      <x:c r="G38" s="82"/>
      <x:c r="J38" s="83"/>
      <x:c r="M38" s="84"/>
    </x:row>
    <x:row r="39">
      <x:c r="F39" s="80"/>
      <x:c r="G39" s="82"/>
      <x:c r="J39" s="83"/>
      <x:c r="M39" s="84"/>
    </x:row>
    <x:row r="40">
      <x:c r="F40" s="80"/>
      <x:c r="G40" s="82"/>
      <x:c r="J40" s="83"/>
      <x:c r="M40" s="84"/>
    </x:row>
    <x:row r="41">
      <x:c r="F41" s="80"/>
      <x:c r="G41" s="82"/>
      <x:c r="J41" s="83"/>
      <x:c r="M41" s="84"/>
    </x:row>
    <x:row r="42">
      <x:c r="F42" s="80"/>
      <x:c r="G42" s="82"/>
      <x:c r="J42" s="83"/>
      <x:c r="M42" s="84"/>
    </x:row>
    <x:row r="43">
      <x:c r="F43" s="80"/>
      <x:c r="G43" s="82"/>
      <x:c r="J43" s="83"/>
      <x:c r="M43" s="84"/>
    </x:row>
    <x:row r="44">
      <x:c r="F44" s="80"/>
      <x:c r="G44" s="82"/>
      <x:c r="J44" s="83"/>
      <x:c r="M44" s="84"/>
    </x:row>
    <x:row r="45">
      <x:c r="F45" s="80"/>
      <x:c r="G45" s="82"/>
      <x:c r="J45" s="83"/>
      <x:c r="M45" s="84"/>
    </x:row>
    <x:row r="46">
      <x:c r="F46" s="80"/>
      <x:c r="G46" s="82"/>
      <x:c r="J46" s="83"/>
      <x:c r="M46" s="84"/>
    </x:row>
    <x:row r="47">
      <x:c r="F47" s="80"/>
      <x:c r="G47" s="82"/>
      <x:c r="J47" s="83"/>
      <x:c r="M47" s="84"/>
    </x:row>
    <x:row r="48">
      <x:c r="F48" s="80"/>
      <x:c r="G48" s="82"/>
      <x:c r="J48" s="83"/>
      <x:c r="M48" s="84"/>
    </x:row>
    <x:row r="49">
      <x:c r="F49" s="80"/>
      <x:c r="G49" s="82"/>
      <x:c r="J49" s="83"/>
      <x:c r="M49" s="84"/>
    </x:row>
    <x:row r="50">
      <x:c r="F50" s="80"/>
      <x:c r="G50" s="82"/>
      <x:c r="J50" s="83"/>
      <x:c r="M50" s="84"/>
    </x:row>
    <x:row r="51">
      <x:c r="F51" s="80"/>
      <x:c r="G51" s="82"/>
      <x:c r="J51" s="83"/>
      <x:c r="M51" s="84"/>
    </x:row>
    <x:row r="52">
      <x:c r="F52" s="80"/>
      <x:c r="G52" s="82"/>
      <x:c r="J52" s="83"/>
      <x:c r="M52" s="84"/>
    </x:row>
    <x:row r="53">
      <x:c r="F53" s="80"/>
      <x:c r="G53" s="82"/>
      <x:c r="J53" s="83"/>
      <x:c r="M53" s="84"/>
    </x:row>
    <x:row r="54">
      <x:c r="F54" s="80"/>
      <x:c r="G54" s="82"/>
      <x:c r="J54" s="83"/>
      <x:c r="M54" s="84"/>
    </x:row>
    <x:row r="55">
      <x:c r="F55" s="80"/>
      <x:c r="G55" s="82"/>
      <x:c r="J55" s="83"/>
      <x:c r="M55" s="84"/>
    </x:row>
    <x:row r="56">
      <x:c r="F56" s="80"/>
      <x:c r="G56" s="82"/>
      <x:c r="J56" s="83"/>
      <x:c r="M56" s="84"/>
    </x:row>
    <x:row r="57">
      <x:c r="F57" s="80"/>
      <x:c r="G57" s="82"/>
      <x:c r="J57" s="83"/>
      <x:c r="M57" s="84"/>
    </x:row>
    <x:row r="58">
      <x:c r="F58" s="80"/>
      <x:c r="G58" s="82"/>
      <x:c r="J58" s="83"/>
      <x:c r="M58" s="84"/>
    </x:row>
    <x:row r="59">
      <x:c r="F59" s="80"/>
      <x:c r="G59" s="82"/>
      <x:c r="J59" s="83"/>
      <x:c r="M59" s="84"/>
    </x:row>
    <x:row r="60">
      <x:c r="F60" s="80"/>
      <x:c r="G60" s="82"/>
      <x:c r="J60" s="83"/>
      <x:c r="M60" s="84"/>
    </x:row>
    <x:row r="61">
      <x:c r="F61" s="80"/>
      <x:c r="G61" s="82"/>
      <x:c r="J61" s="83"/>
      <x:c r="M61" s="84"/>
    </x:row>
    <x:row r="62">
      <x:c r="F62" s="80"/>
      <x:c r="G62" s="82"/>
      <x:c r="J62" s="83"/>
      <x:c r="M62" s="84"/>
    </x:row>
    <x:row r="63">
      <x:c r="F63" s="80"/>
      <x:c r="G63" s="82"/>
      <x:c r="J63" s="83"/>
      <x:c r="M63" s="84"/>
    </x:row>
    <x:row r="64">
      <x:c r="F64" s="80"/>
      <x:c r="G64" s="82"/>
      <x:c r="J64" s="83"/>
      <x:c r="M64" s="84"/>
    </x:row>
    <x:row r="65">
      <x:c r="F65" s="80"/>
      <x:c r="G65" s="82"/>
      <x:c r="J65" s="83"/>
      <x:c r="M65" s="84"/>
    </x:row>
    <x:row r="66">
      <x:c r="F66" s="80"/>
      <x:c r="G66" s="82"/>
      <x:c r="J66" s="83"/>
      <x:c r="M66" s="84"/>
    </x:row>
    <x:row r="67">
      <x:c r="F67" s="80"/>
      <x:c r="G67" s="82"/>
      <x:c r="J67" s="83"/>
      <x:c r="M67" s="84"/>
    </x:row>
    <x:row r="68">
      <x:c r="F68" s="80"/>
      <x:c r="G68" s="82"/>
      <x:c r="J68" s="83"/>
      <x:c r="M68" s="84"/>
    </x:row>
    <x:row r="69">
      <x:c r="F69" s="80"/>
      <x:c r="G69" s="82"/>
      <x:c r="J69" s="83"/>
      <x:c r="M69" s="84"/>
    </x:row>
    <x:row r="70">
      <x:c r="F70" s="80"/>
      <x:c r="G70" s="82"/>
      <x:c r="J70" s="83"/>
      <x:c r="M70" s="84"/>
    </x:row>
    <x:row r="71">
      <x:c r="F71" s="80"/>
      <x:c r="G71" s="82"/>
      <x:c r="J71" s="83"/>
      <x:c r="M71" s="84"/>
    </x:row>
    <x:row r="72">
      <x:c r="F72" s="80"/>
      <x:c r="G72" s="82"/>
      <x:c r="J72" s="83"/>
      <x:c r="M72" s="84"/>
    </x:row>
    <x:row r="73">
      <x:c r="F73" s="80"/>
      <x:c r="G73" s="82"/>
      <x:c r="J73" s="83"/>
      <x:c r="M73" s="84"/>
    </x:row>
    <x:row r="74">
      <x:c r="F74" s="80"/>
      <x:c r="G74" s="82"/>
      <x:c r="J74" s="83"/>
      <x:c r="M74" s="84"/>
    </x:row>
    <x:row r="75">
      <x:c r="F75" s="80"/>
      <x:c r="G75" s="82"/>
      <x:c r="J75" s="83"/>
      <x:c r="M75" s="84"/>
    </x:row>
    <x:row r="76">
      <x:c r="F76" s="80"/>
      <x:c r="G76" s="82"/>
      <x:c r="J76" s="83"/>
      <x:c r="M76" s="84"/>
    </x:row>
    <x:row r="77">
      <x:c r="F77" s="80"/>
      <x:c r="G77" s="82"/>
      <x:c r="J77" s="83"/>
      <x:c r="M77" s="84"/>
    </x:row>
    <x:row r="78">
      <x:c r="F78" s="80"/>
      <x:c r="G78" s="82"/>
      <x:c r="J78" s="83"/>
      <x:c r="M78" s="84"/>
    </x:row>
    <x:row r="79">
      <x:c r="F79" s="80"/>
      <x:c r="G79" s="82"/>
      <x:c r="J79" s="83"/>
      <x:c r="M79" s="84"/>
    </x:row>
    <x:row r="80">
      <x:c r="F80" s="80"/>
      <x:c r="G80" s="82"/>
      <x:c r="J80" s="83"/>
      <x:c r="M80" s="84"/>
    </x:row>
    <x:row r="81">
      <x:c r="F81" s="80"/>
      <x:c r="G81" s="82"/>
      <x:c r="J81" s="83"/>
      <x:c r="M81" s="84"/>
    </x:row>
    <x:row r="82">
      <x:c r="F82" s="80"/>
      <x:c r="G82" s="82"/>
      <x:c r="J82" s="83"/>
      <x:c r="M82" s="84"/>
    </x:row>
    <x:row r="83">
      <x:c r="F83" s="80"/>
      <x:c r="G83" s="82"/>
      <x:c r="J83" s="83"/>
      <x:c r="M83" s="84"/>
    </x:row>
    <x:row r="84">
      <x:c r="F84" s="80"/>
      <x:c r="G84" s="82"/>
      <x:c r="J84" s="83"/>
      <x:c r="M84" s="84"/>
    </x:row>
    <x:row r="85">
      <x:c r="F85" s="80"/>
      <x:c r="G85" s="82"/>
      <x:c r="J85" s="83"/>
      <x:c r="M85" s="84"/>
    </x:row>
    <x:row r="86">
      <x:c r="F86" s="80"/>
      <x:c r="G86" s="82"/>
      <x:c r="J86" s="83"/>
      <x:c r="M86" s="84"/>
    </x:row>
    <x:row r="87">
      <x:c r="F87" s="80"/>
      <x:c r="G87" s="82"/>
      <x:c r="J87" s="83"/>
      <x:c r="M87" s="84"/>
    </x:row>
    <x:row r="88">
      <x:c r="F88" s="80"/>
      <x:c r="G88" s="82"/>
      <x:c r="J88" s="83"/>
      <x:c r="M88" s="84"/>
    </x:row>
    <x:row r="89">
      <x:c r="F89" s="80"/>
      <x:c r="G89" s="82"/>
      <x:c r="J89" s="83"/>
      <x:c r="M89" s="84"/>
    </x:row>
    <x:row r="90">
      <x:c r="F90" s="80"/>
      <x:c r="G90" s="82"/>
      <x:c r="J90" s="83"/>
      <x:c r="M90" s="84"/>
    </x:row>
    <x:row r="91">
      <x:c r="F91" s="80"/>
      <x:c r="G91" s="82"/>
      <x:c r="J91" s="83"/>
      <x:c r="M91" s="84"/>
    </x:row>
    <x:row r="92">
      <x:c r="F92" s="80"/>
      <x:c r="G92" s="82"/>
      <x:c r="J92" s="83"/>
      <x:c r="M92" s="84"/>
    </x:row>
    <x:row r="93">
      <x:c r="F93" s="80"/>
      <x:c r="G93" s="82"/>
      <x:c r="J93" s="83"/>
      <x:c r="M93" s="84"/>
    </x:row>
    <x:row r="94">
      <x:c r="F94" s="80"/>
      <x:c r="G94" s="82"/>
      <x:c r="J94" s="83"/>
      <x:c r="M94" s="84"/>
    </x:row>
    <x:row r="95">
      <x:c r="F95" s="80"/>
      <x:c r="G95" s="82"/>
      <x:c r="J95" s="83"/>
      <x:c r="M95" s="84"/>
    </x:row>
    <x:row r="96">
      <x:c r="F96" s="80"/>
      <x:c r="G96" s="82"/>
      <x:c r="J96" s="83"/>
      <x:c r="M96" s="84"/>
    </x:row>
    <x:row r="97">
      <x:c r="F97" s="80"/>
      <x:c r="G97" s="82"/>
      <x:c r="J97" s="83"/>
      <x:c r="M97" s="84"/>
    </x:row>
    <x:row r="98">
      <x:c r="F98" s="80"/>
      <x:c r="G98" s="82"/>
      <x:c r="J98" s="83"/>
      <x:c r="M98" s="84"/>
    </x:row>
    <x:row r="99">
      <x:c r="F99" s="80"/>
      <x:c r="G99" s="82"/>
      <x:c r="J99" s="83"/>
      <x:c r="M99" s="84"/>
    </x:row>
    <x:row r="100">
      <x:c r="F100" s="80"/>
      <x:c r="G100" s="82"/>
      <x:c r="J100" s="83"/>
      <x:c r="M100" s="84"/>
    </x:row>
    <x:row r="101">
      <x:c r="F101" s="80"/>
      <x:c r="G101" s="82"/>
      <x:c r="J101" s="83"/>
      <x:c r="M101" s="84"/>
    </x:row>
    <x:row r="102">
      <x:c r="F102" s="80"/>
      <x:c r="G102" s="82"/>
      <x:c r="J102" s="83"/>
      <x:c r="M102" s="84"/>
    </x:row>
    <x:row r="103">
      <x:c r="F103" s="80"/>
      <x:c r="G103" s="82"/>
      <x:c r="J103" s="83"/>
      <x:c r="M103" s="84"/>
    </x:row>
    <x:row r="104">
      <x:c r="F104" s="80"/>
      <x:c r="G104" s="82"/>
      <x:c r="J104" s="83"/>
      <x:c r="M104" s="84"/>
    </x:row>
    <x:row r="105">
      <x:c r="F105" s="80"/>
      <x:c r="G105" s="82"/>
      <x:c r="J105" s="83"/>
      <x:c r="M105" s="84"/>
    </x:row>
    <x:row r="106">
      <x:c r="F106" s="80"/>
      <x:c r="G106" s="82"/>
      <x:c r="J106" s="83"/>
      <x:c r="M106" s="84"/>
    </x:row>
    <x:row r="107">
      <x:c r="F107" s="80"/>
      <x:c r="G107" s="82"/>
      <x:c r="J107" s="83"/>
      <x:c r="M107" s="84"/>
    </x:row>
    <x:row r="108">
      <x:c r="F108" s="80"/>
      <x:c r="G108" s="82"/>
      <x:c r="J108" s="83"/>
      <x:c r="M108" s="84"/>
    </x:row>
    <x:row r="109">
      <x:c r="F109" s="80"/>
      <x:c r="G109" s="82"/>
      <x:c r="J109" s="83"/>
      <x:c r="M109" s="84"/>
    </x:row>
    <x:row r="110">
      <x:c r="F110" s="80"/>
      <x:c r="G110" s="82"/>
      <x:c r="J110" s="83"/>
      <x:c r="M110" s="84"/>
    </x:row>
    <x:row r="111">
      <x:c r="F111" s="80"/>
      <x:c r="G111" s="82"/>
      <x:c r="J111" s="83"/>
      <x:c r="M111" s="84"/>
    </x:row>
    <x:row r="112">
      <x:c r="F112" s="80"/>
      <x:c r="G112" s="82"/>
      <x:c r="J112" s="83"/>
      <x:c r="M112" s="84"/>
    </x:row>
    <x:row r="113">
      <x:c r="F113" s="80"/>
      <x:c r="G113" s="82"/>
      <x:c r="J113" s="83"/>
      <x:c r="M113" s="84"/>
    </x:row>
    <x:row r="114">
      <x:c r="F114" s="80"/>
      <x:c r="G114" s="82"/>
      <x:c r="J114" s="83"/>
      <x:c r="M114" s="84"/>
    </x:row>
    <x:row r="115">
      <x:c r="F115" s="80"/>
      <x:c r="G115" s="82"/>
      <x:c r="J115" s="83"/>
      <x:c r="M115" s="84"/>
    </x:row>
    <x:row r="116">
      <x:c r="F116" s="80"/>
      <x:c r="G116" s="82"/>
      <x:c r="J116" s="83"/>
      <x:c r="M116" s="84"/>
    </x:row>
    <x:row r="117">
      <x:c r="F117" s="80"/>
      <x:c r="G117" s="82"/>
      <x:c r="J117" s="83"/>
      <x:c r="M117" s="84"/>
    </x:row>
    <x:row r="118">
      <x:c r="F118" s="80"/>
      <x:c r="G118" s="82"/>
      <x:c r="J118" s="83"/>
      <x:c r="M118" s="84"/>
    </x:row>
    <x:row r="119">
      <x:c r="F119" s="80"/>
      <x:c r="G119" s="82"/>
      <x:c r="J119" s="83"/>
      <x:c r="M119" s="84"/>
    </x:row>
    <x:row r="120">
      <x:c r="F120" s="80"/>
      <x:c r="G120" s="82"/>
      <x:c r="J120" s="83"/>
      <x:c r="M120" s="84"/>
    </x:row>
    <x:row r="121">
      <x:c r="F121" s="80"/>
      <x:c r="G121" s="82"/>
      <x:c r="J121" s="83"/>
      <x:c r="M121" s="84"/>
    </x:row>
    <x:row r="122">
      <x:c r="F122" s="80"/>
      <x:c r="G122" s="82"/>
      <x:c r="J122" s="83"/>
      <x:c r="M122" s="84"/>
    </x:row>
    <x:row r="123">
      <x:c r="F123" s="80"/>
      <x:c r="G123" s="82"/>
      <x:c r="J123" s="83"/>
      <x:c r="M123" s="84"/>
    </x:row>
    <x:row r="124">
      <x:c r="F124" s="80"/>
      <x:c r="G124" s="82"/>
      <x:c r="J124" s="83"/>
      <x:c r="M124" s="84"/>
    </x:row>
    <x:row r="125">
      <x:c r="F125" s="80"/>
      <x:c r="G125" s="82"/>
      <x:c r="J125" s="83"/>
      <x:c r="M125" s="84"/>
    </x:row>
    <x:row r="126">
      <x:c r="F126" s="80"/>
      <x:c r="G126" s="82"/>
      <x:c r="J126" s="83"/>
      <x:c r="M126" s="84"/>
    </x:row>
    <x:row r="127">
      <x:c r="F127" s="80"/>
      <x:c r="G127" s="82"/>
      <x:c r="J127" s="83"/>
      <x:c r="M127" s="84"/>
    </x:row>
    <x:row r="128">
      <x:c r="F128" s="80"/>
      <x:c r="G128" s="82"/>
      <x:c r="J128" s="83"/>
      <x:c r="M128" s="84"/>
    </x:row>
    <x:row r="129">
      <x:c r="F129" s="80"/>
      <x:c r="G129" s="82"/>
      <x:c r="J129" s="83"/>
      <x:c r="M129" s="84"/>
    </x:row>
    <x:row r="130">
      <x:c r="F130" s="80"/>
      <x:c r="G130" s="82"/>
      <x:c r="J130" s="83"/>
      <x:c r="M130" s="84"/>
    </x:row>
    <x:row r="131">
      <x:c r="F131" s="80"/>
      <x:c r="G131" s="82"/>
      <x:c r="J131" s="83"/>
      <x:c r="M131" s="84"/>
    </x:row>
    <x:row r="132">
      <x:c r="F132" s="80"/>
      <x:c r="G132" s="82"/>
      <x:c r="J132" s="83"/>
      <x:c r="M132" s="84"/>
    </x:row>
    <x:row r="133">
      <x:c r="F133" s="80"/>
      <x:c r="G133" s="82"/>
      <x:c r="J133" s="83"/>
      <x:c r="M133" s="84"/>
    </x:row>
    <x:row r="134">
      <x:c r="F134" s="80"/>
      <x:c r="G134" s="82"/>
      <x:c r="J134" s="83"/>
      <x:c r="M134" s="84"/>
    </x:row>
    <x:row r="135">
      <x:c r="F135" s="80"/>
      <x:c r="G135" s="82"/>
      <x:c r="J135" s="83"/>
      <x:c r="M135" s="84"/>
    </x:row>
    <x:row r="136">
      <x:c r="F136" s="80"/>
      <x:c r="G136" s="82"/>
      <x:c r="J136" s="83"/>
      <x:c r="M136" s="84"/>
    </x:row>
    <x:row r="137">
      <x:c r="F137" s="80"/>
      <x:c r="G137" s="82"/>
      <x:c r="J137" s="83"/>
      <x:c r="M137" s="84"/>
    </x:row>
    <x:row r="138">
      <x:c r="F138" s="80"/>
      <x:c r="G138" s="82"/>
      <x:c r="J138" s="83"/>
      <x:c r="M138" s="84"/>
    </x:row>
    <x:row r="139">
      <x:c r="F139" s="80"/>
      <x:c r="G139" s="82"/>
      <x:c r="J139" s="83"/>
      <x:c r="M139" s="84"/>
    </x:row>
    <x:row r="140">
      <x:c r="F140" s="80"/>
      <x:c r="G140" s="82"/>
      <x:c r="J140" s="83"/>
      <x:c r="M140" s="84"/>
    </x:row>
    <x:row r="141">
      <x:c r="F141" s="80"/>
      <x:c r="G141" s="82"/>
      <x:c r="J141" s="83"/>
      <x:c r="M141" s="84"/>
    </x:row>
    <x:row r="142">
      <x:c r="F142" s="80"/>
      <x:c r="G142" s="82"/>
      <x:c r="J142" s="83"/>
      <x:c r="M142" s="84"/>
    </x:row>
    <x:row r="143">
      <x:c r="F143" s="80"/>
      <x:c r="G143" s="82"/>
      <x:c r="J143" s="83"/>
      <x:c r="M143" s="84"/>
    </x:row>
    <x:row r="144">
      <x:c r="F144" s="80"/>
      <x:c r="G144" s="82"/>
      <x:c r="J144" s="83"/>
      <x:c r="M144" s="84"/>
    </x:row>
    <x:row r="145">
      <x:c r="F145" s="80"/>
      <x:c r="G145" s="82"/>
      <x:c r="J145" s="83"/>
      <x:c r="M145" s="84"/>
    </x:row>
    <x:row r="146">
      <x:c r="F146" s="80"/>
      <x:c r="G146" s="82"/>
      <x:c r="J146" s="83"/>
      <x:c r="M146" s="84"/>
    </x:row>
    <x:row r="147">
      <x:c r="F147" s="80"/>
      <x:c r="G147" s="82"/>
      <x:c r="J147" s="83"/>
      <x:c r="M147" s="84"/>
    </x:row>
    <x:row r="148">
      <x:c r="F148" s="80"/>
      <x:c r="G148" s="82"/>
      <x:c r="J148" s="83"/>
      <x:c r="M148" s="84"/>
    </x:row>
    <x:row r="149">
      <x:c r="F149" s="80"/>
      <x:c r="G149" s="82"/>
      <x:c r="J149" s="83"/>
      <x:c r="M149" s="84"/>
    </x:row>
    <x:row r="150">
      <x:c r="F150" s="80"/>
      <x:c r="G150" s="82"/>
      <x:c r="J150" s="83"/>
      <x:c r="M150" s="84"/>
    </x:row>
    <x:row r="151">
      <x:c r="F151" s="80"/>
      <x:c r="G151" s="82"/>
      <x:c r="J151" s="83"/>
      <x:c r="M151" s="84"/>
    </x:row>
    <x:row r="152">
      <x:c r="F152" s="80"/>
      <x:c r="G152" s="82"/>
      <x:c r="J152" s="83"/>
      <x:c r="M152" s="84"/>
    </x:row>
    <x:row r="153">
      <x:c r="F153" s="80"/>
      <x:c r="G153" s="82"/>
      <x:c r="J153" s="83"/>
      <x:c r="M153" s="84"/>
    </x:row>
    <x:row r="154">
      <x:c r="F154" s="80"/>
      <x:c r="G154" s="82"/>
      <x:c r="J154" s="83"/>
      <x:c r="M154" s="84"/>
    </x:row>
    <x:row r="155">
      <x:c r="F155" s="80"/>
      <x:c r="G155" s="82"/>
      <x:c r="J155" s="83"/>
      <x:c r="M155" s="84"/>
    </x:row>
    <x:row r="156">
      <x:c r="F156" s="80"/>
      <x:c r="G156" s="82"/>
      <x:c r="J156" s="83"/>
      <x:c r="M156" s="84"/>
    </x:row>
    <x:row r="157">
      <x:c r="F157" s="80"/>
      <x:c r="G157" s="82"/>
      <x:c r="J157" s="83"/>
      <x:c r="M157" s="84"/>
    </x:row>
    <x:row r="158">
      <x:c r="F158" s="80"/>
      <x:c r="G158" s="82"/>
      <x:c r="J158" s="83"/>
      <x:c r="M158" s="84"/>
    </x:row>
    <x:row r="159">
      <x:c r="F159" s="80"/>
      <x:c r="G159" s="82"/>
      <x:c r="J159" s="83"/>
      <x:c r="M159" s="84"/>
    </x:row>
    <x:row r="160">
      <x:c r="F160" s="80"/>
      <x:c r="G160" s="82"/>
      <x:c r="J160" s="83"/>
      <x:c r="M160" s="84"/>
    </x:row>
    <x:row r="161">
      <x:c r="F161" s="80"/>
      <x:c r="G161" s="82"/>
      <x:c r="J161" s="83"/>
      <x:c r="M161" s="84"/>
    </x:row>
    <x:row r="162">
      <x:c r="F162" s="80"/>
      <x:c r="G162" s="82"/>
      <x:c r="J162" s="83"/>
      <x:c r="M162" s="84"/>
    </x:row>
    <x:row r="163">
      <x:c r="F163" s="80"/>
      <x:c r="G163" s="82"/>
      <x:c r="J163" s="83"/>
      <x:c r="M163" s="84"/>
    </x:row>
    <x:row r="164">
      <x:c r="F164" s="80"/>
      <x:c r="G164" s="82"/>
      <x:c r="J164" s="83"/>
      <x:c r="M164" s="84"/>
    </x:row>
    <x:row r="165">
      <x:c r="F165" s="80"/>
      <x:c r="G165" s="82"/>
      <x:c r="J165" s="83"/>
      <x:c r="M165" s="84"/>
    </x:row>
    <x:row r="166">
      <x:c r="F166" s="80"/>
      <x:c r="G166" s="82"/>
      <x:c r="J166" s="83"/>
      <x:c r="M166" s="84"/>
    </x:row>
    <x:row r="167">
      <x:c r="F167" s="80"/>
      <x:c r="G167" s="82"/>
      <x:c r="J167" s="83"/>
      <x:c r="M167" s="84"/>
    </x:row>
    <x:row r="168">
      <x:c r="F168" s="80"/>
      <x:c r="G168" s="82"/>
      <x:c r="J168" s="83"/>
      <x:c r="M168" s="84"/>
    </x:row>
    <x:row r="169">
      <x:c r="F169" s="80"/>
      <x:c r="G169" s="82"/>
      <x:c r="J169" s="83"/>
      <x:c r="M169" s="84"/>
    </x:row>
    <x:row r="170">
      <x:c r="F170" s="80"/>
      <x:c r="G170" s="82"/>
      <x:c r="J170" s="83"/>
      <x:c r="M170" s="84"/>
    </x:row>
    <x:row r="171">
      <x:c r="F171" s="80"/>
      <x:c r="G171" s="82"/>
      <x:c r="J171" s="83"/>
      <x:c r="M171" s="84"/>
    </x:row>
    <x:row r="172">
      <x:c r="F172" s="80"/>
      <x:c r="G172" s="82"/>
      <x:c r="J172" s="83"/>
      <x:c r="M172" s="84"/>
    </x:row>
    <x:row r="173">
      <x:c r="F173" s="80"/>
      <x:c r="G173" s="82"/>
      <x:c r="J173" s="83"/>
      <x:c r="M173" s="84"/>
    </x:row>
    <x:row r="174">
      <x:c r="F174" s="80"/>
      <x:c r="G174" s="82"/>
      <x:c r="J174" s="83"/>
      <x:c r="M174" s="84"/>
    </x:row>
    <x:row r="175">
      <x:c r="F175" s="80"/>
      <x:c r="G175" s="82"/>
      <x:c r="J175" s="83"/>
      <x:c r="M175" s="84"/>
    </x:row>
    <x:row r="176">
      <x:c r="F176" s="80"/>
      <x:c r="G176" s="82"/>
      <x:c r="J176" s="83"/>
      <x:c r="M176" s="84"/>
    </x:row>
    <x:row r="177">
      <x:c r="F177" s="80"/>
      <x:c r="G177" s="82"/>
      <x:c r="J177" s="83"/>
      <x:c r="M177" s="84"/>
    </x:row>
    <x:row r="178">
      <x:c r="F178" s="80"/>
      <x:c r="G178" s="82"/>
      <x:c r="J178" s="83"/>
      <x:c r="M178" s="84"/>
    </x:row>
    <x:row r="179">
      <x:c r="F179" s="80"/>
      <x:c r="G179" s="82"/>
      <x:c r="J179" s="83"/>
      <x:c r="M179" s="84"/>
    </x:row>
    <x:row r="180">
      <x:c r="F180" s="80"/>
      <x:c r="G180" s="82"/>
      <x:c r="J180" s="83"/>
      <x:c r="M180" s="84"/>
    </x:row>
    <x:row r="181">
      <x:c r="F181" s="80"/>
      <x:c r="G181" s="82"/>
      <x:c r="J181" s="83"/>
      <x:c r="M181" s="84"/>
    </x:row>
    <x:row r="182">
      <x:c r="F182" s="80"/>
      <x:c r="G182" s="82"/>
      <x:c r="J182" s="83"/>
      <x:c r="M182" s="84"/>
    </x:row>
    <x:row r="183">
      <x:c r="F183" s="80"/>
      <x:c r="G183" s="82"/>
      <x:c r="J183" s="83"/>
      <x:c r="M183" s="84"/>
    </x:row>
    <x:row r="184">
      <x:c r="F184" s="80"/>
      <x:c r="G184" s="82"/>
      <x:c r="J184" s="83"/>
      <x:c r="M184" s="84"/>
    </x:row>
    <x:row r="185">
      <x:c r="F185" s="80"/>
      <x:c r="G185" s="82"/>
      <x:c r="J185" s="83"/>
      <x:c r="M185" s="84"/>
    </x:row>
    <x:row r="186">
      <x:c r="F186" s="80"/>
      <x:c r="G186" s="82"/>
      <x:c r="J186" s="83"/>
      <x:c r="M186" s="84"/>
    </x:row>
    <x:row r="187">
      <x:c r="F187" s="80"/>
      <x:c r="G187" s="82"/>
      <x:c r="J187" s="83"/>
      <x:c r="M187" s="84"/>
    </x:row>
    <x:row r="188">
      <x:c r="F188" s="80"/>
      <x:c r="G188" s="82"/>
      <x:c r="J188" s="83"/>
      <x:c r="M188" s="84"/>
    </x:row>
    <x:row r="189">
      <x:c r="F189" s="80"/>
      <x:c r="G189" s="82"/>
      <x:c r="J189" s="83"/>
      <x:c r="M189" s="84"/>
    </x:row>
    <x:row r="190">
      <x:c r="F190" s="80"/>
      <x:c r="G190" s="82"/>
      <x:c r="J190" s="83"/>
      <x:c r="M190" s="84"/>
    </x:row>
    <x:row r="191">
      <x:c r="F191" s="80"/>
      <x:c r="G191" s="82"/>
      <x:c r="J191" s="83"/>
      <x:c r="M191" s="84"/>
    </x:row>
    <x:row r="192">
      <x:c r="F192" s="80"/>
      <x:c r="G192" s="82"/>
      <x:c r="J192" s="83"/>
      <x:c r="M192" s="84"/>
    </x:row>
    <x:row r="193">
      <x:c r="F193" s="80"/>
      <x:c r="G193" s="82"/>
      <x:c r="J193" s="83"/>
      <x:c r="M193" s="84"/>
    </x:row>
    <x:row r="194">
      <x:c r="F194" s="80"/>
      <x:c r="G194" s="82"/>
      <x:c r="J194" s="83"/>
      <x:c r="M194" s="84"/>
    </x:row>
    <x:row r="195">
      <x:c r="F195" s="80"/>
      <x:c r="G195" s="82"/>
      <x:c r="J195" s="83"/>
      <x:c r="M195" s="84"/>
    </x:row>
    <x:row r="196">
      <x:c r="F196" s="80"/>
      <x:c r="G196" s="82"/>
      <x:c r="J196" s="83"/>
      <x:c r="M196" s="84"/>
    </x:row>
    <x:row r="197">
      <x:c r="F197" s="80"/>
      <x:c r="G197" s="82"/>
      <x:c r="J197" s="83"/>
      <x:c r="M197" s="84"/>
    </x:row>
    <x:row r="198">
      <x:c r="F198" s="80"/>
      <x:c r="G198" s="82"/>
      <x:c r="J198" s="83"/>
      <x:c r="M198" s="84"/>
    </x:row>
    <x:row r="199">
      <x:c r="F199" s="80"/>
      <x:c r="G199" s="82"/>
      <x:c r="J199" s="83"/>
      <x:c r="M199" s="84"/>
    </x:row>
    <x:row r="200">
      <x:c r="F200" s="80"/>
      <x:c r="G200" s="82"/>
      <x:c r="J200" s="83"/>
      <x:c r="M200" s="84"/>
    </x:row>
    <x:row r="201">
      <x:c r="F201" s="80"/>
      <x:c r="G201" s="82"/>
      <x:c r="J201" s="83"/>
      <x:c r="M201" s="84"/>
    </x:row>
    <x:row r="202">
      <x:c r="F202" s="80"/>
      <x:c r="G202" s="82"/>
      <x:c r="J202" s="83"/>
      <x:c r="M202" s="84"/>
    </x:row>
    <x:row r="203">
      <x:c r="F203" s="80"/>
      <x:c r="G203" s="82"/>
      <x:c r="J203" s="83"/>
      <x:c r="M203" s="84"/>
    </x:row>
    <x:row r="204">
      <x:c r="F204" s="80"/>
      <x:c r="G204" s="82"/>
      <x:c r="J204" s="83"/>
      <x:c r="M204" s="84"/>
    </x:row>
    <x:row r="205">
      <x:c r="F205" s="80"/>
      <x:c r="G205" s="82"/>
      <x:c r="J205" s="83"/>
      <x:c r="M205" s="84"/>
    </x:row>
    <x:row r="206">
      <x:c r="F206" s="80"/>
      <x:c r="G206" s="82"/>
      <x:c r="J206" s="83"/>
      <x:c r="M206" s="84"/>
    </x:row>
    <x:row r="207">
      <x:c r="F207" s="80"/>
      <x:c r="G207" s="82"/>
      <x:c r="J207" s="83"/>
      <x:c r="M207" s="84"/>
    </x:row>
    <x:row r="208">
      <x:c r="F208" s="80"/>
      <x:c r="G208" s="82"/>
      <x:c r="J208" s="83"/>
      <x:c r="M208" s="84"/>
    </x:row>
    <x:row r="209">
      <x:c r="F209" s="80"/>
      <x:c r="G209" s="82"/>
      <x:c r="J209" s="83"/>
      <x:c r="M209" s="84"/>
    </x:row>
    <x:row r="210">
      <x:c r="F210" s="80"/>
      <x:c r="G210" s="82"/>
      <x:c r="J210" s="83"/>
      <x:c r="M210" s="84"/>
    </x:row>
    <x:row r="211">
      <x:c r="F211" s="80"/>
      <x:c r="G211" s="82"/>
      <x:c r="J211" s="83"/>
      <x:c r="M211" s="84"/>
    </x:row>
    <x:row r="212">
      <x:c r="F212" s="80"/>
      <x:c r="G212" s="82"/>
      <x:c r="J212" s="83"/>
      <x:c r="M212" s="84"/>
    </x:row>
    <x:row r="213">
      <x:c r="F213" s="80"/>
      <x:c r="G213" s="82"/>
      <x:c r="J213" s="83"/>
      <x:c r="M213" s="84"/>
    </x:row>
    <x:row r="214">
      <x:c r="F214" s="80"/>
      <x:c r="G214" s="82"/>
      <x:c r="J214" s="83"/>
      <x:c r="M214" s="84"/>
    </x:row>
    <x:row r="215">
      <x:c r="F215" s="80"/>
      <x:c r="G215" s="82"/>
      <x:c r="J215" s="83"/>
      <x:c r="M215" s="84"/>
    </x:row>
    <x:row r="216">
      <x:c r="F216" s="80"/>
      <x:c r="G216" s="82"/>
      <x:c r="J216" s="83"/>
      <x:c r="M216" s="84"/>
    </x:row>
    <x:row r="217">
      <x:c r="F217" s="80"/>
      <x:c r="G217" s="82"/>
      <x:c r="J217" s="83"/>
      <x:c r="M217" s="84"/>
    </x:row>
    <x:row r="218">
      <x:c r="F218" s="80"/>
      <x:c r="G218" s="82"/>
      <x:c r="J218" s="83"/>
      <x:c r="M218" s="84"/>
    </x:row>
    <x:row r="219">
      <x:c r="F219" s="80"/>
      <x:c r="G219" s="82"/>
      <x:c r="J219" s="83"/>
      <x:c r="M219" s="84"/>
    </x:row>
    <x:row r="220">
      <x:c r="F220" s="80"/>
      <x:c r="G220" s="82"/>
      <x:c r="J220" s="83"/>
      <x:c r="M220" s="84"/>
    </x:row>
    <x:row r="221">
      <x:c r="F221" s="80"/>
      <x:c r="G221" s="82"/>
      <x:c r="J221" s="83"/>
      <x:c r="M221" s="84"/>
    </x:row>
    <x:row r="222">
      <x:c r="F222" s="80"/>
      <x:c r="G222" s="82"/>
      <x:c r="J222" s="83"/>
      <x:c r="M222" s="84"/>
    </x:row>
    <x:row r="223">
      <x:c r="F223" s="80"/>
      <x:c r="G223" s="82"/>
      <x:c r="J223" s="83"/>
      <x:c r="M223" s="84"/>
    </x:row>
    <x:row r="224">
      <x:c r="F224" s="80"/>
      <x:c r="G224" s="82"/>
      <x:c r="J224" s="83"/>
      <x:c r="M224" s="84"/>
    </x:row>
    <x:row r="225">
      <x:c r="F225" s="80"/>
      <x:c r="G225" s="82"/>
      <x:c r="J225" s="83"/>
      <x:c r="M225" s="84"/>
    </x:row>
    <x:row r="226">
      <x:c r="F226" s="80"/>
      <x:c r="G226" s="82"/>
      <x:c r="J226" s="83"/>
      <x:c r="M226" s="84"/>
    </x:row>
    <x:row r="227">
      <x:c r="F227" s="80"/>
      <x:c r="G227" s="82"/>
      <x:c r="J227" s="83"/>
      <x:c r="M227" s="84"/>
    </x:row>
    <x:row r="228">
      <x:c r="F228" s="80"/>
      <x:c r="G228" s="82"/>
      <x:c r="J228" s="83"/>
      <x:c r="M228" s="84"/>
    </x:row>
    <x:row r="229">
      <x:c r="F229" s="80"/>
      <x:c r="G229" s="82"/>
      <x:c r="J229" s="83"/>
      <x:c r="M229" s="84"/>
    </x:row>
    <x:row r="230">
      <x:c r="F230" s="80"/>
      <x:c r="G230" s="82"/>
      <x:c r="J230" s="83"/>
      <x:c r="M230" s="84"/>
    </x:row>
    <x:row r="231">
      <x:c r="F231" s="80"/>
      <x:c r="G231" s="82"/>
      <x:c r="J231" s="83"/>
      <x:c r="M231" s="84"/>
    </x:row>
    <x:row r="232">
      <x:c r="F232" s="80"/>
      <x:c r="G232" s="82"/>
      <x:c r="J232" s="83"/>
      <x:c r="M232" s="84"/>
    </x:row>
    <x:row r="233">
      <x:c r="F233" s="80"/>
      <x:c r="G233" s="82"/>
      <x:c r="J233" s="83"/>
      <x:c r="M233" s="84"/>
    </x:row>
    <x:row r="234">
      <x:c r="F234" s="80"/>
      <x:c r="G234" s="82"/>
      <x:c r="J234" s="83"/>
      <x:c r="M234" s="84"/>
    </x:row>
    <x:row r="235">
      <x:c r="F235" s="80"/>
      <x:c r="G235" s="82"/>
      <x:c r="J235" s="83"/>
      <x:c r="M235" s="84"/>
    </x:row>
    <x:row r="236">
      <x:c r="F236" s="80"/>
      <x:c r="G236" s="82"/>
      <x:c r="J236" s="83"/>
      <x:c r="M236" s="84"/>
    </x:row>
    <x:row r="237">
      <x:c r="F237" s="80"/>
      <x:c r="G237" s="82"/>
      <x:c r="J237" s="83"/>
      <x:c r="M237" s="84"/>
    </x:row>
    <x:row r="238">
      <x:c r="F238" s="80"/>
      <x:c r="G238" s="82"/>
      <x:c r="J238" s="83"/>
      <x:c r="M238" s="84"/>
    </x:row>
    <x:row r="239">
      <x:c r="F239" s="80"/>
      <x:c r="G239" s="82"/>
      <x:c r="J239" s="83"/>
      <x:c r="M239" s="84"/>
    </x:row>
    <x:row r="240">
      <x:c r="F240" s="80"/>
      <x:c r="G240" s="82"/>
      <x:c r="J240" s="83"/>
      <x:c r="M240" s="84"/>
    </x:row>
    <x:row r="241">
      <x:c r="F241" s="80"/>
      <x:c r="G241" s="82"/>
      <x:c r="J241" s="83"/>
      <x:c r="M241" s="84"/>
    </x:row>
    <x:row r="242">
      <x:c r="F242" s="80"/>
      <x:c r="G242" s="82"/>
      <x:c r="J242" s="83"/>
      <x:c r="M242" s="84"/>
    </x:row>
    <x:row r="243">
      <x:c r="F243" s="80"/>
      <x:c r="G243" s="82"/>
      <x:c r="J243" s="83"/>
      <x:c r="M243" s="84"/>
    </x:row>
    <x:row r="244">
      <x:c r="F244" s="80"/>
      <x:c r="G244" s="82"/>
      <x:c r="J244" s="83"/>
      <x:c r="M244" s="84"/>
    </x:row>
    <x:row r="245">
      <x:c r="F245" s="80"/>
      <x:c r="G245" s="82"/>
      <x:c r="J245" s="83"/>
      <x:c r="M245" s="84"/>
    </x:row>
    <x:row r="246">
      <x:c r="F246" s="80"/>
      <x:c r="G246" s="82"/>
      <x:c r="J246" s="83"/>
      <x:c r="M246" s="84"/>
    </x:row>
    <x:row r="247">
      <x:c r="F247" s="80"/>
      <x:c r="G247" s="82"/>
      <x:c r="J247" s="83"/>
      <x:c r="M247" s="84"/>
    </x:row>
    <x:row r="248">
      <x:c r="F248" s="80"/>
      <x:c r="G248" s="82"/>
      <x:c r="J248" s="83"/>
      <x:c r="M248" s="84"/>
    </x:row>
    <x:row r="249">
      <x:c r="F249" s="80"/>
      <x:c r="G249" s="82"/>
      <x:c r="J249" s="83"/>
      <x:c r="M249" s="84"/>
    </x:row>
    <x:row r="250">
      <x:c r="F250" s="80"/>
      <x:c r="G250" s="82"/>
      <x:c r="J250" s="83"/>
      <x:c r="M250" s="84"/>
    </x:row>
    <x:row r="251">
      <x:c r="F251" s="80"/>
      <x:c r="G251" s="82"/>
      <x:c r="J251" s="83"/>
      <x:c r="M251" s="84"/>
    </x:row>
    <x:row r="252">
      <x:c r="F252" s="80"/>
      <x:c r="G252" s="82"/>
      <x:c r="J252" s="83"/>
      <x:c r="M252" s="84"/>
    </x:row>
    <x:row r="253">
      <x:c r="F253" s="80"/>
      <x:c r="G253" s="82"/>
      <x:c r="J253" s="83"/>
      <x:c r="M253" s="84"/>
    </x:row>
    <x:row r="254">
      <x:c r="F254" s="80"/>
      <x:c r="G254" s="82"/>
      <x:c r="J254" s="83"/>
      <x:c r="M254" s="84"/>
    </x:row>
    <x:row r="255">
      <x:c r="F255" s="80"/>
      <x:c r="G255" s="82"/>
      <x:c r="J255" s="83"/>
      <x:c r="M255" s="84"/>
    </x:row>
    <x:row r="256">
      <x:c r="F256" s="80"/>
      <x:c r="G256" s="82"/>
      <x:c r="J256" s="83"/>
      <x:c r="M256" s="84"/>
    </x:row>
    <x:row r="257">
      <x:c r="F257" s="80"/>
      <x:c r="G257" s="82"/>
      <x:c r="J257" s="83"/>
      <x:c r="M257" s="84"/>
    </x:row>
    <x:row r="258">
      <x:c r="F258" s="80"/>
      <x:c r="G258" s="82"/>
      <x:c r="J258" s="83"/>
      <x:c r="M258" s="84"/>
    </x:row>
    <x:row r="259">
      <x:c r="F259" s="80"/>
      <x:c r="G259" s="82"/>
      <x:c r="J259" s="83"/>
      <x:c r="M259" s="84"/>
    </x:row>
    <x:row r="260">
      <x:c r="F260" s="80"/>
      <x:c r="G260" s="82"/>
      <x:c r="J260" s="83"/>
      <x:c r="M260" s="84"/>
    </x:row>
    <x:row r="261">
      <x:c r="F261" s="80"/>
      <x:c r="G261" s="82"/>
      <x:c r="J261" s="83"/>
      <x:c r="M261" s="84"/>
    </x:row>
    <x:row r="262">
      <x:c r="F262" s="80"/>
      <x:c r="G262" s="82"/>
      <x:c r="J262" s="83"/>
      <x:c r="M262" s="84"/>
    </x:row>
    <x:row r="263">
      <x:c r="F263" s="80"/>
      <x:c r="G263" s="82"/>
      <x:c r="J263" s="83"/>
      <x:c r="M263" s="84"/>
    </x:row>
    <x:row r="264">
      <x:c r="F264" s="80"/>
      <x:c r="G264" s="82"/>
      <x:c r="J264" s="83"/>
      <x:c r="M264" s="84"/>
    </x:row>
    <x:row r="265">
      <x:c r="F265" s="80"/>
      <x:c r="G265" s="82"/>
      <x:c r="J265" s="83"/>
      <x:c r="M265" s="84"/>
    </x:row>
    <x:row r="266">
      <x:c r="F266" s="80"/>
      <x:c r="G266" s="82"/>
      <x:c r="J266" s="83"/>
      <x:c r="M266" s="84"/>
    </x:row>
    <x:row r="267">
      <x:c r="F267" s="80"/>
      <x:c r="G267" s="82"/>
      <x:c r="J267" s="83"/>
      <x:c r="M267" s="84"/>
    </x:row>
    <x:row r="268">
      <x:c r="F268" s="80"/>
      <x:c r="G268" s="82"/>
      <x:c r="J268" s="83"/>
      <x:c r="M268" s="84"/>
    </x:row>
    <x:row r="269">
      <x:c r="F269" s="80"/>
      <x:c r="G269" s="82"/>
      <x:c r="J269" s="83"/>
      <x:c r="M269" s="84"/>
    </x:row>
    <x:row r="270">
      <x:c r="F270" s="80"/>
      <x:c r="G270" s="82"/>
      <x:c r="J270" s="83"/>
      <x:c r="M270" s="84"/>
    </x:row>
    <x:row r="271">
      <x:c r="F271" s="80"/>
      <x:c r="G271" s="82"/>
      <x:c r="J271" s="83"/>
      <x:c r="M271" s="84"/>
    </x:row>
    <x:row r="272">
      <x:c r="F272" s="80"/>
      <x:c r="G272" s="82"/>
      <x:c r="J272" s="83"/>
      <x:c r="M272" s="84"/>
    </x:row>
    <x:row r="273">
      <x:c r="F273" s="80"/>
      <x:c r="G273" s="82"/>
      <x:c r="J273" s="83"/>
      <x:c r="M273" s="84"/>
    </x:row>
    <x:row r="274">
      <x:c r="F274" s="80"/>
      <x:c r="G274" s="82"/>
      <x:c r="J274" s="83"/>
      <x:c r="M274" s="84"/>
    </x:row>
    <x:row r="275">
      <x:c r="F275" s="80"/>
      <x:c r="G275" s="82"/>
      <x:c r="J275" s="83"/>
      <x:c r="M275" s="84"/>
    </x:row>
    <x:row r="276">
      <x:c r="F276" s="80"/>
      <x:c r="G276" s="82"/>
      <x:c r="J276" s="83"/>
      <x:c r="M276" s="84"/>
    </x:row>
    <x:row r="277">
      <x:c r="F277" s="80"/>
      <x:c r="G277" s="82"/>
      <x:c r="J277" s="83"/>
      <x:c r="M277" s="84"/>
    </x:row>
    <x:row r="278">
      <x:c r="F278" s="80"/>
      <x:c r="G278" s="82"/>
      <x:c r="J278" s="83"/>
      <x:c r="M278" s="84"/>
    </x:row>
    <x:row r="279">
      <x:c r="F279" s="80"/>
      <x:c r="G279" s="82"/>
      <x:c r="J279" s="83"/>
      <x:c r="M279" s="84"/>
    </x:row>
    <x:row r="280">
      <x:c r="F280" s="80"/>
      <x:c r="G280" s="82"/>
      <x:c r="J280" s="83"/>
      <x:c r="M280" s="84"/>
    </x:row>
    <x:row r="281">
      <x:c r="F281" s="80"/>
      <x:c r="G281" s="82"/>
      <x:c r="J281" s="83"/>
      <x:c r="M281" s="84"/>
    </x:row>
    <x:row r="282">
      <x:c r="F282" s="80"/>
      <x:c r="G282" s="82"/>
      <x:c r="J282" s="83"/>
      <x:c r="M282" s="84"/>
    </x:row>
    <x:row r="283">
      <x:c r="F283" s="80"/>
      <x:c r="G283" s="82"/>
      <x:c r="J283" s="83"/>
      <x:c r="M283" s="84"/>
    </x:row>
    <x:row r="284">
      <x:c r="F284" s="80"/>
      <x:c r="G284" s="82"/>
      <x:c r="J284" s="83"/>
      <x:c r="M284" s="84"/>
    </x:row>
    <x:row r="285">
      <x:c r="F285" s="80"/>
      <x:c r="G285" s="82"/>
      <x:c r="J285" s="83"/>
      <x:c r="M285" s="84"/>
    </x:row>
    <x:row r="286">
      <x:c r="F286" s="80"/>
      <x:c r="G286" s="82"/>
      <x:c r="J286" s="83"/>
      <x:c r="M286" s="84"/>
    </x:row>
    <x:row r="287">
      <x:c r="F287" s="80"/>
      <x:c r="G287" s="82"/>
      <x:c r="J287" s="83"/>
      <x:c r="M287" s="84"/>
    </x:row>
    <x:row r="288">
      <x:c r="F288" s="80"/>
      <x:c r="G288" s="82"/>
      <x:c r="J288" s="83"/>
      <x:c r="M288" s="84"/>
    </x:row>
    <x:row r="289">
      <x:c r="F289" s="80"/>
      <x:c r="G289" s="82"/>
      <x:c r="J289" s="83"/>
      <x:c r="M289" s="84"/>
    </x:row>
    <x:row r="290">
      <x:c r="F290" s="80"/>
      <x:c r="G290" s="82"/>
      <x:c r="J290" s="83"/>
      <x:c r="M290" s="84"/>
    </x:row>
    <x:row r="291">
      <x:c r="F291" s="80"/>
      <x:c r="G291" s="82"/>
      <x:c r="J291" s="83"/>
      <x:c r="M291" s="84"/>
    </x:row>
    <x:row r="292">
      <x:c r="F292" s="80"/>
      <x:c r="G292" s="82"/>
      <x:c r="J292" s="83"/>
      <x:c r="M292" s="84"/>
    </x:row>
    <x:row r="293">
      <x:c r="F293" s="80"/>
      <x:c r="G293" s="82"/>
      <x:c r="J293" s="83"/>
      <x:c r="M293" s="84"/>
    </x:row>
    <x:row r="294">
      <x:c r="F294" s="80"/>
      <x:c r="G294" s="82"/>
      <x:c r="J294" s="83"/>
      <x:c r="M294" s="84"/>
    </x:row>
    <x:row r="295">
      <x:c r="F295" s="80"/>
      <x:c r="G295" s="82"/>
      <x:c r="J295" s="83"/>
      <x:c r="M295" s="84"/>
    </x:row>
    <x:row r="296">
      <x:c r="F296" s="80"/>
      <x:c r="G296" s="82"/>
      <x:c r="J296" s="83"/>
      <x:c r="M296" s="84"/>
    </x:row>
    <x:row r="297">
      <x:c r="F297" s="80"/>
      <x:c r="G297" s="82"/>
      <x:c r="J297" s="83"/>
      <x:c r="M297" s="84"/>
    </x:row>
    <x:row r="298">
      <x:c r="F298" s="80"/>
      <x:c r="G298" s="82"/>
      <x:c r="J298" s="83"/>
      <x:c r="M298" s="84"/>
    </x:row>
    <x:row r="299">
      <x:c r="F299" s="80"/>
      <x:c r="G299" s="82"/>
      <x:c r="J299" s="83"/>
      <x:c r="M299" s="84"/>
    </x:row>
    <x:row r="300">
      <x:c r="F300" s="80"/>
      <x:c r="G300" s="82"/>
      <x:c r="J300" s="83"/>
      <x:c r="M300" s="84"/>
    </x:row>
    <x:row r="301">
      <x:c r="F301" s="80"/>
      <x:c r="G301" s="82"/>
      <x:c r="J301" s="83"/>
      <x:c r="M301" s="84"/>
    </x:row>
    <x:row r="302">
      <x:c r="F302" s="80"/>
      <x:c r="G302" s="82"/>
      <x:c r="J302" s="83"/>
      <x:c r="M302" s="84"/>
    </x:row>
    <x:row r="303">
      <x:c r="F303" s="80"/>
      <x:c r="G303" s="82"/>
      <x:c r="J303" s="83"/>
      <x:c r="M303" s="84"/>
    </x:row>
    <x:row r="304">
      <x:c r="F304" s="80"/>
      <x:c r="G304" s="82"/>
      <x:c r="J304" s="83"/>
      <x:c r="M304" s="84"/>
    </x:row>
    <x:row r="305">
      <x:c r="F305" s="80"/>
      <x:c r="G305" s="82"/>
      <x:c r="J305" s="83"/>
      <x:c r="M305" s="84"/>
    </x:row>
    <x:row r="306">
      <x:c r="F306" s="80"/>
      <x:c r="G306" s="82"/>
      <x:c r="J306" s="83"/>
      <x:c r="M306" s="84"/>
    </x:row>
    <x:row r="307">
      <x:c r="F307" s="80"/>
      <x:c r="G307" s="82"/>
      <x:c r="J307" s="83"/>
      <x:c r="M307" s="84"/>
    </x:row>
    <x:row r="308">
      <x:c r="F308" s="80"/>
      <x:c r="G308" s="82"/>
      <x:c r="J308" s="83"/>
      <x:c r="M308" s="84"/>
    </x:row>
    <x:row r="309">
      <x:c r="F309" s="80"/>
      <x:c r="G309" s="82"/>
      <x:c r="J309" s="83"/>
      <x:c r="M309" s="84"/>
    </x:row>
    <x:row r="310">
      <x:c r="F310" s="80"/>
      <x:c r="G310" s="82"/>
      <x:c r="J310" s="83"/>
      <x:c r="M310" s="84"/>
    </x:row>
    <x:row r="311">
      <x:c r="F311" s="80"/>
      <x:c r="G311" s="82"/>
      <x:c r="J311" s="83"/>
      <x:c r="M311" s="84"/>
    </x:row>
    <x:row r="312">
      <x:c r="F312" s="80"/>
      <x:c r="G312" s="82"/>
      <x:c r="J312" s="83"/>
      <x:c r="M312" s="84"/>
    </x:row>
    <x:row r="313">
      <x:c r="F313" s="80"/>
      <x:c r="G313" s="82"/>
      <x:c r="J313" s="83"/>
      <x:c r="M313" s="84"/>
    </x:row>
    <x:row r="314">
      <x:c r="F314" s="80"/>
      <x:c r="G314" s="82"/>
      <x:c r="J314" s="83"/>
      <x:c r="M314" s="84"/>
    </x:row>
    <x:row r="315">
      <x:c r="F315" s="80"/>
      <x:c r="G315" s="82"/>
      <x:c r="J315" s="83"/>
      <x:c r="M315" s="84"/>
    </x:row>
    <x:row r="316">
      <x:c r="F316" s="80"/>
      <x:c r="G316" s="82"/>
      <x:c r="J316" s="83"/>
      <x:c r="M316" s="84"/>
    </x:row>
    <x:row r="317">
      <x:c r="F317" s="80"/>
      <x:c r="G317" s="82"/>
      <x:c r="J317" s="83"/>
      <x:c r="M317" s="84"/>
    </x:row>
    <x:row r="318">
      <x:c r="F318" s="80"/>
      <x:c r="G318" s="82"/>
      <x:c r="J318" s="83"/>
      <x:c r="M318" s="84"/>
    </x:row>
    <x:row r="319">
      <x:c r="F319" s="80"/>
      <x:c r="G319" s="82"/>
      <x:c r="J319" s="83"/>
      <x:c r="M319" s="84"/>
    </x:row>
    <x:row r="320">
      <x:c r="F320" s="80"/>
      <x:c r="G320" s="82"/>
      <x:c r="J320" s="83"/>
      <x:c r="M320" s="84"/>
    </x:row>
    <x:row r="321">
      <x:c r="F321" s="80"/>
      <x:c r="G321" s="82"/>
      <x:c r="J321" s="83"/>
      <x:c r="M321" s="84"/>
    </x:row>
    <x:row r="322">
      <x:c r="F322" s="80"/>
      <x:c r="G322" s="82"/>
      <x:c r="J322" s="83"/>
      <x:c r="M322" s="84"/>
    </x:row>
    <x:row r="323">
      <x:c r="F323" s="80"/>
      <x:c r="G323" s="82"/>
      <x:c r="J323" s="83"/>
      <x:c r="M323" s="84"/>
    </x:row>
    <x:row r="324">
      <x:c r="F324" s="80"/>
      <x:c r="G324" s="82"/>
      <x:c r="J324" s="83"/>
      <x:c r="M324" s="84"/>
    </x:row>
    <x:row r="325">
      <x:c r="F325" s="80"/>
      <x:c r="G325" s="82"/>
      <x:c r="J325" s="83"/>
      <x:c r="M325" s="84"/>
    </x:row>
    <x:row r="326">
      <x:c r="F326" s="80"/>
      <x:c r="G326" s="82"/>
      <x:c r="J326" s="83"/>
      <x:c r="M326" s="84"/>
    </x:row>
    <x:row r="327">
      <x:c r="F327" s="80"/>
      <x:c r="G327" s="82"/>
      <x:c r="J327" s="83"/>
      <x:c r="M327" s="84"/>
    </x:row>
    <x:row r="328">
      <x:c r="F328" s="80"/>
      <x:c r="G328" s="82"/>
      <x:c r="J328" s="83"/>
      <x:c r="M328" s="84"/>
    </x:row>
    <x:row r="329">
      <x:c r="F329" s="80"/>
      <x:c r="G329" s="82"/>
      <x:c r="J329" s="83"/>
      <x:c r="M329" s="84"/>
    </x:row>
    <x:row r="330">
      <x:c r="F330" s="80"/>
      <x:c r="G330" s="82"/>
      <x:c r="J330" s="83"/>
      <x:c r="M330" s="84"/>
    </x:row>
    <x:row r="331">
      <x:c r="F331" s="80"/>
      <x:c r="G331" s="82"/>
      <x:c r="J331" s="83"/>
      <x:c r="M331" s="84"/>
    </x:row>
    <x:row r="332">
      <x:c r="F332" s="80"/>
      <x:c r="G332" s="82"/>
      <x:c r="J332" s="83"/>
      <x:c r="M332" s="84"/>
    </x:row>
    <x:row r="333">
      <x:c r="F333" s="80"/>
      <x:c r="G333" s="82"/>
      <x:c r="J333" s="83"/>
      <x:c r="M333" s="84"/>
    </x:row>
    <x:row r="334">
      <x:c r="F334" s="80"/>
      <x:c r="G334" s="82"/>
      <x:c r="J334" s="83"/>
      <x:c r="M334" s="84"/>
    </x:row>
    <x:row r="335">
      <x:c r="F335" s="80"/>
      <x:c r="G335" s="82"/>
      <x:c r="J335" s="83"/>
      <x:c r="M335" s="84"/>
    </x:row>
    <x:row r="336">
      <x:c r="F336" s="80"/>
      <x:c r="G336" s="82"/>
      <x:c r="J336" s="83"/>
      <x:c r="M336" s="84"/>
    </x:row>
    <x:row r="337">
      <x:c r="F337" s="80"/>
      <x:c r="G337" s="82"/>
      <x:c r="J337" s="83"/>
      <x:c r="M337" s="84"/>
    </x:row>
    <x:row r="338">
      <x:c r="F338" s="80"/>
      <x:c r="G338" s="82"/>
      <x:c r="J338" s="83"/>
      <x:c r="M338" s="84"/>
    </x:row>
    <x:row r="339">
      <x:c r="F339" s="80"/>
      <x:c r="G339" s="82"/>
      <x:c r="J339" s="83"/>
      <x:c r="M339" s="84"/>
    </x:row>
    <x:row r="340">
      <x:c r="F340" s="80"/>
      <x:c r="G340" s="82"/>
      <x:c r="J340" s="83"/>
      <x:c r="M340" s="84"/>
    </x:row>
    <x:row r="341">
      <x:c r="F341" s="80"/>
      <x:c r="G341" s="82"/>
      <x:c r="J341" s="83"/>
      <x:c r="M341" s="84"/>
    </x:row>
    <x:row r="342">
      <x:c r="F342" s="80"/>
      <x:c r="G342" s="82"/>
      <x:c r="J342" s="83"/>
      <x:c r="M342" s="84"/>
    </x:row>
    <x:row r="343">
      <x:c r="F343" s="80"/>
      <x:c r="G343" s="82"/>
      <x:c r="J343" s="83"/>
      <x:c r="M343" s="84"/>
    </x:row>
    <x:row r="344">
      <x:c r="F344" s="80"/>
      <x:c r="G344" s="82"/>
      <x:c r="J344" s="83"/>
      <x:c r="M344" s="84"/>
    </x:row>
    <x:row r="345">
      <x:c r="F345" s="80"/>
      <x:c r="G345" s="82"/>
      <x:c r="J345" s="83"/>
      <x:c r="M345" s="84"/>
    </x:row>
    <x:row r="346">
      <x:c r="F346" s="80"/>
      <x:c r="G346" s="82"/>
      <x:c r="J346" s="83"/>
      <x:c r="M346" s="84"/>
    </x:row>
    <x:row r="347">
      <x:c r="F347" s="80"/>
      <x:c r="G347" s="82"/>
      <x:c r="J347" s="83"/>
      <x:c r="M347" s="84"/>
    </x:row>
    <x:row r="348">
      <x:c r="F348" s="80"/>
      <x:c r="G348" s="82"/>
      <x:c r="J348" s="83"/>
      <x:c r="M348" s="84"/>
    </x:row>
    <x:row r="349">
      <x:c r="F349" s="80"/>
      <x:c r="G349" s="82"/>
      <x:c r="J349" s="83"/>
      <x:c r="M349" s="84"/>
    </x:row>
    <x:row r="350">
      <x:c r="F350" s="80"/>
      <x:c r="G350" s="82"/>
      <x:c r="J350" s="83"/>
      <x:c r="M350" s="84"/>
    </x:row>
    <x:row r="351">
      <x:c r="F351" s="80"/>
      <x:c r="G351" s="82"/>
      <x:c r="J351" s="83"/>
      <x:c r="M351" s="84"/>
    </x:row>
    <x:row r="352">
      <x:c r="F352" s="80"/>
      <x:c r="G352" s="82"/>
      <x:c r="J352" s="83"/>
      <x:c r="M352" s="84"/>
    </x:row>
    <x:row r="353">
      <x:c r="F353" s="80"/>
      <x:c r="G353" s="82"/>
      <x:c r="J353" s="83"/>
      <x:c r="M353" s="84"/>
    </x:row>
    <x:row r="354">
      <x:c r="F354" s="80"/>
      <x:c r="G354" s="82"/>
      <x:c r="J354" s="83"/>
      <x:c r="M354" s="84"/>
    </x:row>
    <x:row r="355">
      <x:c r="F355" s="80"/>
      <x:c r="G355" s="82"/>
      <x:c r="J355" s="83"/>
      <x:c r="M355" s="84"/>
    </x:row>
    <x:row r="356">
      <x:c r="F356" s="80"/>
      <x:c r="G356" s="82"/>
      <x:c r="J356" s="83"/>
      <x:c r="M356" s="84"/>
    </x:row>
    <x:row r="357">
      <x:c r="F357" s="80"/>
      <x:c r="G357" s="82"/>
      <x:c r="J357" s="83"/>
      <x:c r="M357" s="84"/>
    </x:row>
    <x:row r="358">
      <x:c r="F358" s="80"/>
      <x:c r="G358" s="82"/>
      <x:c r="J358" s="83"/>
      <x:c r="M358" s="84"/>
    </x:row>
    <x:row r="359">
      <x:c r="F359" s="80"/>
      <x:c r="G359" s="82"/>
      <x:c r="J359" s="83"/>
      <x:c r="M359" s="84"/>
    </x:row>
    <x:row r="360">
      <x:c r="F360" s="80"/>
      <x:c r="G360" s="82"/>
      <x:c r="J360" s="83"/>
      <x:c r="M360" s="84"/>
    </x:row>
    <x:row r="361">
      <x:c r="F361" s="80"/>
      <x:c r="G361" s="82"/>
      <x:c r="J361" s="83"/>
      <x:c r="M361" s="84"/>
    </x:row>
    <x:row r="362">
      <x:c r="F362" s="80"/>
      <x:c r="G362" s="82"/>
      <x:c r="J362" s="83"/>
      <x:c r="M362" s="84"/>
    </x:row>
    <x:row r="363">
      <x:c r="F363" s="80"/>
      <x:c r="G363" s="82"/>
      <x:c r="J363" s="83"/>
      <x:c r="M363" s="84"/>
    </x:row>
    <x:row r="364">
      <x:c r="F364" s="80"/>
      <x:c r="G364" s="82"/>
      <x:c r="J364" s="83"/>
      <x:c r="M364" s="84"/>
    </x:row>
    <x:row r="365">
      <x:c r="F365" s="80"/>
      <x:c r="G365" s="82"/>
      <x:c r="J365" s="83"/>
      <x:c r="M365" s="84"/>
    </x:row>
    <x:row r="366">
      <x:c r="F366" s="80"/>
      <x:c r="G366" s="82"/>
      <x:c r="J366" s="83"/>
      <x:c r="M366" s="84"/>
    </x:row>
    <x:row r="367">
      <x:c r="F367" s="80"/>
      <x:c r="G367" s="82"/>
      <x:c r="J367" s="83"/>
      <x:c r="M367" s="84"/>
    </x:row>
    <x:row r="368">
      <x:c r="F368" s="80"/>
      <x:c r="G368" s="82"/>
      <x:c r="J368" s="83"/>
      <x:c r="M368" s="84"/>
    </x:row>
    <x:row r="369">
      <x:c r="F369" s="80"/>
      <x:c r="G369" s="82"/>
      <x:c r="J369" s="83"/>
      <x:c r="M369" s="84"/>
    </x:row>
    <x:row r="370">
      <x:c r="F370" s="80"/>
      <x:c r="G370" s="82"/>
      <x:c r="J370" s="83"/>
      <x:c r="M370" s="84"/>
    </x:row>
    <x:row r="371">
      <x:c r="F371" s="80"/>
      <x:c r="G371" s="82"/>
      <x:c r="J371" s="83"/>
      <x:c r="M371" s="84"/>
    </x:row>
    <x:row r="372">
      <x:c r="F372" s="80"/>
      <x:c r="G372" s="82"/>
      <x:c r="J372" s="83"/>
      <x:c r="M372" s="84"/>
    </x:row>
    <x:row r="373">
      <x:c r="F373" s="80"/>
      <x:c r="G373" s="82"/>
      <x:c r="J373" s="83"/>
      <x:c r="M373" s="84"/>
    </x:row>
    <x:row r="374">
      <x:c r="F374" s="80"/>
      <x:c r="G374" s="82"/>
      <x:c r="J374" s="83"/>
      <x:c r="M374" s="84"/>
    </x:row>
    <x:row r="375">
      <x:c r="F375" s="80"/>
      <x:c r="G375" s="82"/>
      <x:c r="J375" s="83"/>
      <x:c r="M375" s="84"/>
    </x:row>
    <x:row r="376">
      <x:c r="F376" s="80"/>
      <x:c r="G376" s="82"/>
      <x:c r="J376" s="83"/>
      <x:c r="M376" s="84"/>
    </x:row>
    <x:row r="377">
      <x:c r="F377" s="80"/>
      <x:c r="G377" s="82"/>
      <x:c r="J377" s="83"/>
      <x:c r="M377" s="84"/>
    </x:row>
    <x:row r="378">
      <x:c r="F378" s="80"/>
      <x:c r="G378" s="82"/>
      <x:c r="J378" s="83"/>
      <x:c r="M378" s="84"/>
    </x:row>
    <x:row r="379">
      <x:c r="F379" s="80"/>
      <x:c r="G379" s="82"/>
      <x:c r="J379" s="83"/>
      <x:c r="M379" s="84"/>
    </x:row>
    <x:row r="380">
      <x:c r="F380" s="80"/>
      <x:c r="G380" s="82"/>
      <x:c r="J380" s="83"/>
      <x:c r="M380" s="84"/>
    </x:row>
    <x:row r="381">
      <x:c r="F381" s="80"/>
      <x:c r="G381" s="82"/>
      <x:c r="J381" s="83"/>
      <x:c r="M381" s="84"/>
    </x:row>
    <x:row r="382">
      <x:c r="F382" s="80"/>
      <x:c r="G382" s="82"/>
      <x:c r="J382" s="83"/>
      <x:c r="M382" s="84"/>
    </x:row>
    <x:row r="383">
      <x:c r="F383" s="80"/>
      <x:c r="G383" s="82"/>
      <x:c r="J383" s="83"/>
      <x:c r="M383" s="84"/>
    </x:row>
    <x:row r="384">
      <x:c r="F384" s="80"/>
      <x:c r="G384" s="82"/>
      <x:c r="J384" s="83"/>
      <x:c r="M384" s="84"/>
    </x:row>
    <x:row r="385">
      <x:c r="F385" s="80"/>
      <x:c r="G385" s="82"/>
      <x:c r="J385" s="83"/>
      <x:c r="M385" s="84"/>
    </x:row>
    <x:row r="386">
      <x:c r="F386" s="80"/>
      <x:c r="G386" s="82"/>
      <x:c r="J386" s="83"/>
      <x:c r="M386" s="84"/>
    </x:row>
    <x:row r="387">
      <x:c r="F387" s="80"/>
      <x:c r="G387" s="82"/>
      <x:c r="J387" s="83"/>
      <x:c r="M387" s="84"/>
    </x:row>
    <x:row r="388">
      <x:c r="F388" s="80"/>
      <x:c r="G388" s="82"/>
      <x:c r="J388" s="83"/>
      <x:c r="M388" s="84"/>
    </x:row>
    <x:row r="389">
      <x:c r="F389" s="80"/>
      <x:c r="G389" s="82"/>
      <x:c r="J389" s="83"/>
      <x:c r="M389" s="84"/>
    </x:row>
    <x:row r="390">
      <x:c r="F390" s="80"/>
      <x:c r="G390" s="82"/>
      <x:c r="J390" s="83"/>
      <x:c r="M390" s="84"/>
    </x:row>
    <x:row r="391">
      <x:c r="F391" s="80"/>
      <x:c r="G391" s="82"/>
      <x:c r="J391" s="83"/>
      <x:c r="M391" s="84"/>
    </x:row>
    <x:row r="392">
      <x:c r="F392" s="80"/>
      <x:c r="G392" s="82"/>
      <x:c r="J392" s="83"/>
      <x:c r="M392" s="84"/>
    </x:row>
    <x:row r="393">
      <x:c r="F393" s="80"/>
      <x:c r="G393" s="82"/>
      <x:c r="J393" s="83"/>
      <x:c r="M393" s="84"/>
    </x:row>
    <x:row r="394">
      <x:c r="F394" s="80"/>
      <x:c r="G394" s="82"/>
      <x:c r="J394" s="83"/>
      <x:c r="M394" s="84"/>
    </x:row>
    <x:row r="395">
      <x:c r="F395" s="80"/>
      <x:c r="G395" s="82"/>
      <x:c r="J395" s="83"/>
      <x:c r="M395" s="84"/>
    </x:row>
    <x:row r="396">
      <x:c r="F396" s="80"/>
      <x:c r="G396" s="82"/>
      <x:c r="J396" s="83"/>
      <x:c r="M396" s="84"/>
    </x:row>
    <x:row r="397">
      <x:c r="F397" s="80"/>
      <x:c r="G397" s="82"/>
      <x:c r="J397" s="83"/>
      <x:c r="M397" s="84"/>
    </x:row>
    <x:row r="398">
      <x:c r="F398" s="80"/>
      <x:c r="G398" s="82"/>
      <x:c r="J398" s="83"/>
      <x:c r="M398" s="84"/>
    </x:row>
    <x:row r="399">
      <x:c r="F399" s="80"/>
      <x:c r="G399" s="82"/>
      <x:c r="J399" s="83"/>
      <x:c r="M399" s="84"/>
    </x:row>
    <x:row r="400">
      <x:c r="F400" s="80"/>
      <x:c r="G400" s="82"/>
      <x:c r="J400" s="83"/>
      <x:c r="M400" s="84"/>
    </x:row>
    <x:row r="401">
      <x:c r="F401" s="80"/>
      <x:c r="G401" s="82"/>
      <x:c r="J401" s="83"/>
      <x:c r="M401" s="84"/>
    </x:row>
    <x:row r="402">
      <x:c r="F402" s="80"/>
      <x:c r="G402" s="82"/>
      <x:c r="J402" s="83"/>
      <x:c r="M402" s="84"/>
    </x:row>
    <x:row r="403">
      <x:c r="F403" s="80"/>
      <x:c r="G403" s="82"/>
      <x:c r="J403" s="83"/>
      <x:c r="M403" s="84"/>
    </x:row>
    <x:row r="404">
      <x:c r="F404" s="80"/>
      <x:c r="G404" s="82"/>
      <x:c r="J404" s="83"/>
      <x:c r="M404" s="84"/>
    </x:row>
    <x:row r="405">
      <x:c r="F405" s="80"/>
      <x:c r="G405" s="82"/>
      <x:c r="J405" s="83"/>
      <x:c r="M405" s="84"/>
    </x:row>
    <x:row r="406">
      <x:c r="F406" s="80"/>
      <x:c r="G406" s="82"/>
      <x:c r="J406" s="83"/>
      <x:c r="M406" s="84"/>
    </x:row>
    <x:row r="407">
      <x:c r="F407" s="80"/>
      <x:c r="G407" s="82"/>
      <x:c r="J407" s="83"/>
      <x:c r="M407" s="84"/>
    </x:row>
    <x:row r="408">
      <x:c r="F408" s="80"/>
      <x:c r="G408" s="82"/>
      <x:c r="J408" s="83"/>
      <x:c r="M408" s="84"/>
    </x:row>
    <x:row r="409">
      <x:c r="F409" s="80"/>
      <x:c r="G409" s="82"/>
      <x:c r="J409" s="83"/>
      <x:c r="M409" s="84"/>
    </x:row>
    <x:row r="410">
      <x:c r="F410" s="80"/>
      <x:c r="G410" s="82"/>
      <x:c r="J410" s="83"/>
      <x:c r="M410" s="84"/>
    </x:row>
    <x:row r="411">
      <x:c r="F411" s="80"/>
      <x:c r="G411" s="82"/>
      <x:c r="J411" s="83"/>
      <x:c r="M411" s="84"/>
    </x:row>
    <x:row r="412">
      <x:c r="F412" s="80"/>
      <x:c r="G412" s="82"/>
      <x:c r="J412" s="83"/>
      <x:c r="M412" s="84"/>
    </x:row>
    <x:row r="413">
      <x:c r="F413" s="80"/>
      <x:c r="G413" s="82"/>
      <x:c r="J413" s="83"/>
      <x:c r="M413" s="84"/>
    </x:row>
    <x:row r="414">
      <x:c r="F414" s="80"/>
      <x:c r="G414" s="82"/>
      <x:c r="J414" s="83"/>
      <x:c r="M414" s="84"/>
    </x:row>
    <x:row r="415">
      <x:c r="F415" s="80"/>
      <x:c r="G415" s="82"/>
      <x:c r="J415" s="83"/>
      <x:c r="M415" s="84"/>
    </x:row>
    <x:row r="416">
      <x:c r="F416" s="80"/>
      <x:c r="G416" s="82"/>
      <x:c r="J416" s="83"/>
      <x:c r="M416" s="84"/>
    </x:row>
    <x:row r="417">
      <x:c r="F417" s="80"/>
      <x:c r="G417" s="82"/>
      <x:c r="J417" s="83"/>
      <x:c r="M417" s="84"/>
    </x:row>
    <x:row r="418">
      <x:c r="F418" s="80"/>
      <x:c r="G418" s="82"/>
      <x:c r="J418" s="83"/>
      <x:c r="M418" s="84"/>
    </x:row>
    <x:row r="419">
      <x:c r="F419" s="80"/>
      <x:c r="G419" s="82"/>
      <x:c r="J419" s="83"/>
      <x:c r="M419" s="84"/>
    </x:row>
    <x:row r="420">
      <x:c r="F420" s="80"/>
      <x:c r="G420" s="82"/>
      <x:c r="J420" s="83"/>
      <x:c r="M420" s="84"/>
    </x:row>
    <x:row r="421">
      <x:c r="F421" s="80"/>
      <x:c r="G421" s="82"/>
      <x:c r="J421" s="83"/>
      <x:c r="M421" s="84"/>
    </x:row>
    <x:row r="422">
      <x:c r="F422" s="80"/>
      <x:c r="G422" s="82"/>
      <x:c r="J422" s="83"/>
      <x:c r="M422" s="84"/>
    </x:row>
    <x:row r="423">
      <x:c r="F423" s="80"/>
      <x:c r="G423" s="82"/>
      <x:c r="J423" s="83"/>
      <x:c r="M423" s="84"/>
    </x:row>
    <x:row r="424">
      <x:c r="F424" s="80"/>
      <x:c r="G424" s="82"/>
      <x:c r="J424" s="83"/>
      <x:c r="M424" s="84"/>
    </x:row>
    <x:row r="425">
      <x:c r="F425" s="80"/>
      <x:c r="G425" s="82"/>
      <x:c r="J425" s="83"/>
      <x:c r="M425" s="84"/>
    </x:row>
    <x:row r="426">
      <x:c r="F426" s="80"/>
      <x:c r="G426" s="82"/>
      <x:c r="J426" s="83"/>
      <x:c r="M426" s="84"/>
    </x:row>
    <x:row r="427">
      <x:c r="F427" s="80"/>
      <x:c r="G427" s="82"/>
      <x:c r="J427" s="83"/>
      <x:c r="M427" s="84"/>
    </x:row>
    <x:row r="428">
      <x:c r="F428" s="80"/>
      <x:c r="G428" s="82"/>
      <x:c r="J428" s="83"/>
      <x:c r="M428" s="84"/>
    </x:row>
    <x:row r="429">
      <x:c r="F429" s="80"/>
      <x:c r="G429" s="82"/>
      <x:c r="J429" s="83"/>
      <x:c r="M429" s="84"/>
    </x:row>
    <x:row r="430">
      <x:c r="F430" s="80"/>
      <x:c r="G430" s="82"/>
      <x:c r="J430" s="83"/>
      <x:c r="M430" s="84"/>
    </x:row>
    <x:row r="431">
      <x:c r="F431" s="80"/>
      <x:c r="G431" s="82"/>
      <x:c r="J431" s="83"/>
      <x:c r="M431" s="84"/>
    </x:row>
    <x:row r="432">
      <x:c r="F432" s="80"/>
      <x:c r="G432" s="82"/>
      <x:c r="J432" s="83"/>
      <x:c r="M432" s="84"/>
    </x:row>
    <x:row r="433">
      <x:c r="F433" s="80"/>
      <x:c r="G433" s="82"/>
      <x:c r="J433" s="83"/>
      <x:c r="M433" s="84"/>
    </x:row>
    <x:row r="434">
      <x:c r="F434" s="80"/>
      <x:c r="G434" s="82"/>
      <x:c r="J434" s="83"/>
      <x:c r="M434" s="84"/>
    </x:row>
    <x:row r="435">
      <x:c r="F435" s="80"/>
      <x:c r="G435" s="82"/>
      <x:c r="J435" s="83"/>
      <x:c r="M435" s="84"/>
    </x:row>
    <x:row r="436">
      <x:c r="F436" s="80"/>
      <x:c r="G436" s="82"/>
      <x:c r="J436" s="83"/>
      <x:c r="M436" s="84"/>
    </x:row>
    <x:row r="437">
      <x:c r="F437" s="80"/>
      <x:c r="G437" s="82"/>
      <x:c r="J437" s="83"/>
      <x:c r="M437" s="84"/>
    </x:row>
    <x:row r="438">
      <x:c r="F438" s="80"/>
      <x:c r="G438" s="82"/>
      <x:c r="J438" s="83"/>
      <x:c r="M438" s="84"/>
    </x:row>
    <x:row r="439">
      <x:c r="F439" s="80"/>
      <x:c r="G439" s="82"/>
      <x:c r="J439" s="83"/>
      <x:c r="M439" s="84"/>
    </x:row>
    <x:row r="440">
      <x:c r="F440" s="80"/>
      <x:c r="G440" s="82"/>
      <x:c r="J440" s="83"/>
      <x:c r="M440" s="84"/>
    </x:row>
    <x:row r="441">
      <x:c r="F441" s="80"/>
      <x:c r="G441" s="82"/>
      <x:c r="J441" s="83"/>
      <x:c r="M441" s="84"/>
    </x:row>
    <x:row r="442">
      <x:c r="F442" s="80"/>
      <x:c r="G442" s="82"/>
      <x:c r="J442" s="83"/>
      <x:c r="M442" s="84"/>
    </x:row>
    <x:row r="443">
      <x:c r="F443" s="80"/>
      <x:c r="G443" s="82"/>
      <x:c r="J443" s="83"/>
      <x:c r="M443" s="84"/>
    </x:row>
    <x:row r="444">
      <x:c r="F444" s="80"/>
      <x:c r="G444" s="82"/>
      <x:c r="J444" s="83"/>
      <x:c r="M444" s="84"/>
    </x:row>
    <x:row r="445">
      <x:c r="F445" s="80"/>
      <x:c r="G445" s="82"/>
      <x:c r="J445" s="83"/>
      <x:c r="M445" s="84"/>
    </x:row>
    <x:row r="446">
      <x:c r="F446" s="80"/>
      <x:c r="G446" s="82"/>
      <x:c r="J446" s="83"/>
      <x:c r="M446" s="84"/>
    </x:row>
    <x:row r="447">
      <x:c r="F447" s="80"/>
      <x:c r="G447" s="82"/>
      <x:c r="J447" s="83"/>
      <x:c r="M447" s="84"/>
    </x:row>
    <x:row r="448">
      <x:c r="F448" s="80"/>
      <x:c r="G448" s="82"/>
      <x:c r="J448" s="83"/>
      <x:c r="M448" s="84"/>
    </x:row>
    <x:row r="449">
      <x:c r="F449" s="80"/>
      <x:c r="G449" s="82"/>
      <x:c r="J449" s="83"/>
      <x:c r="M449" s="84"/>
    </x:row>
    <x:row r="450">
      <x:c r="F450" s="80"/>
      <x:c r="G450" s="82"/>
      <x:c r="J450" s="83"/>
      <x:c r="M450" s="84"/>
    </x:row>
    <x:row r="451">
      <x:c r="F451" s="80"/>
      <x:c r="G451" s="82"/>
      <x:c r="J451" s="83"/>
      <x:c r="M451" s="84"/>
    </x:row>
    <x:row r="452">
      <x:c r="F452" s="80"/>
      <x:c r="G452" s="82"/>
      <x:c r="J452" s="83"/>
      <x:c r="M452" s="84"/>
    </x:row>
    <x:row r="453">
      <x:c r="F453" s="80"/>
      <x:c r="G453" s="82"/>
      <x:c r="J453" s="83"/>
      <x:c r="M453" s="84"/>
    </x:row>
    <x:row r="454">
      <x:c r="F454" s="80"/>
      <x:c r="G454" s="82"/>
      <x:c r="J454" s="83"/>
      <x:c r="M454" s="84"/>
    </x:row>
    <x:row r="455">
      <x:c r="F455" s="80"/>
      <x:c r="G455" s="82"/>
      <x:c r="J455" s="83"/>
      <x:c r="M455" s="84"/>
    </x:row>
    <x:row r="456">
      <x:c r="F456" s="80"/>
      <x:c r="G456" s="82"/>
      <x:c r="J456" s="83"/>
      <x:c r="M456" s="84"/>
    </x:row>
    <x:row r="457">
      <x:c r="F457" s="80"/>
      <x:c r="G457" s="82"/>
      <x:c r="J457" s="83"/>
      <x:c r="M457" s="84"/>
    </x:row>
    <x:row r="458">
      <x:c r="F458" s="80"/>
      <x:c r="G458" s="82"/>
      <x:c r="J458" s="83"/>
      <x:c r="M458" s="84"/>
    </x:row>
    <x:row r="459">
      <x:c r="F459" s="80"/>
      <x:c r="G459" s="82"/>
      <x:c r="J459" s="83"/>
      <x:c r="M459" s="84"/>
    </x:row>
    <x:row r="460">
      <x:c r="F460" s="80"/>
      <x:c r="G460" s="82"/>
      <x:c r="J460" s="83"/>
      <x:c r="M460" s="84"/>
    </x:row>
    <x:row r="461">
      <x:c r="F461" s="80"/>
      <x:c r="G461" s="82"/>
      <x:c r="J461" s="83"/>
      <x:c r="M461" s="84"/>
    </x:row>
    <x:row r="462">
      <x:c r="F462" s="80"/>
      <x:c r="G462" s="82"/>
      <x:c r="J462" s="83"/>
      <x:c r="M462" s="84"/>
    </x:row>
    <x:row r="463">
      <x:c r="F463" s="80"/>
      <x:c r="G463" s="82"/>
      <x:c r="J463" s="83"/>
      <x:c r="M463" s="84"/>
    </x:row>
    <x:row r="464">
      <x:c r="F464" s="80"/>
      <x:c r="G464" s="82"/>
      <x:c r="J464" s="83"/>
      <x:c r="M464" s="84"/>
    </x:row>
    <x:row r="465">
      <x:c r="F465" s="80"/>
      <x:c r="G465" s="82"/>
      <x:c r="J465" s="83"/>
      <x:c r="M465" s="84"/>
    </x:row>
    <x:row r="466">
      <x:c r="F466" s="80"/>
      <x:c r="G466" s="82"/>
      <x:c r="J466" s="83"/>
      <x:c r="M466" s="84"/>
    </x:row>
    <x:row r="467">
      <x:c r="F467" s="80"/>
      <x:c r="G467" s="82"/>
      <x:c r="J467" s="83"/>
      <x:c r="M467" s="84"/>
    </x:row>
    <x:row r="468">
      <x:c r="F468" s="80"/>
      <x:c r="G468" s="82"/>
      <x:c r="J468" s="83"/>
      <x:c r="M468" s="84"/>
    </x:row>
    <x:row r="469">
      <x:c r="F469" s="80"/>
      <x:c r="G469" s="82"/>
      <x:c r="J469" s="83"/>
      <x:c r="M469" s="84"/>
    </x:row>
    <x:row r="470">
      <x:c r="F470" s="80"/>
      <x:c r="G470" s="82"/>
      <x:c r="J470" s="83"/>
      <x:c r="M470" s="84"/>
    </x:row>
    <x:row r="471">
      <x:c r="F471" s="80"/>
      <x:c r="G471" s="82"/>
      <x:c r="J471" s="83"/>
      <x:c r="M471" s="84"/>
    </x:row>
    <x:row r="472">
      <x:c r="F472" s="80"/>
      <x:c r="G472" s="82"/>
      <x:c r="J472" s="83"/>
      <x:c r="M472" s="84"/>
    </x:row>
    <x:row r="473">
      <x:c r="F473" s="80"/>
      <x:c r="G473" s="82"/>
      <x:c r="J473" s="83"/>
      <x:c r="M473" s="84"/>
    </x:row>
    <x:row r="474">
      <x:c r="F474" s="80"/>
      <x:c r="G474" s="82"/>
      <x:c r="J474" s="83"/>
      <x:c r="M474" s="84"/>
    </x:row>
    <x:row r="475">
      <x:c r="F475" s="80"/>
      <x:c r="G475" s="82"/>
      <x:c r="J475" s="83"/>
      <x:c r="M475" s="84"/>
    </x:row>
    <x:row r="476">
      <x:c r="F476" s="80"/>
      <x:c r="G476" s="82"/>
      <x:c r="J476" s="83"/>
      <x:c r="M476" s="84"/>
    </x:row>
    <x:row r="477">
      <x:c r="F477" s="80"/>
      <x:c r="G477" s="82"/>
      <x:c r="J477" s="83"/>
      <x:c r="M477" s="84"/>
    </x:row>
    <x:row r="478">
      <x:c r="F478" s="80"/>
      <x:c r="G478" s="82"/>
      <x:c r="J478" s="83"/>
      <x:c r="M478" s="84"/>
    </x:row>
    <x:row r="479">
      <x:c r="F479" s="80"/>
      <x:c r="G479" s="82"/>
      <x:c r="J479" s="83"/>
      <x:c r="M479" s="84"/>
    </x:row>
    <x:row r="480">
      <x:c r="F480" s="80"/>
      <x:c r="G480" s="82"/>
      <x:c r="J480" s="83"/>
      <x:c r="M480" s="84"/>
    </x:row>
    <x:row r="481">
      <x:c r="F481" s="80"/>
      <x:c r="G481" s="82"/>
      <x:c r="J481" s="83"/>
      <x:c r="M481" s="84"/>
    </x:row>
    <x:row r="482">
      <x:c r="F482" s="80"/>
      <x:c r="G482" s="82"/>
      <x:c r="J482" s="83"/>
      <x:c r="M482" s="84"/>
    </x:row>
    <x:row r="483">
      <x:c r="F483" s="80"/>
      <x:c r="G483" s="82"/>
      <x:c r="J483" s="83"/>
      <x:c r="M483" s="84"/>
    </x:row>
    <x:row r="484">
      <x:c r="F484" s="80"/>
      <x:c r="G484" s="82"/>
      <x:c r="J484" s="83"/>
      <x:c r="M484" s="84"/>
    </x:row>
    <x:row r="485">
      <x:c r="F485" s="80"/>
      <x:c r="G485" s="82"/>
      <x:c r="J485" s="83"/>
      <x:c r="M485" s="84"/>
    </x:row>
    <x:row r="486">
      <x:c r="F486" s="80"/>
      <x:c r="G486" s="82"/>
      <x:c r="J486" s="83"/>
      <x:c r="M486" s="84"/>
    </x:row>
    <x:row r="487">
      <x:c r="F487" s="80"/>
      <x:c r="G487" s="82"/>
      <x:c r="J487" s="83"/>
      <x:c r="M487" s="84"/>
    </x:row>
    <x:row r="488">
      <x:c r="F488" s="80"/>
      <x:c r="G488" s="82"/>
      <x:c r="J488" s="83"/>
      <x:c r="M488" s="84"/>
    </x:row>
    <x:row r="489">
      <x:c r="F489" s="80"/>
      <x:c r="G489" s="82"/>
      <x:c r="J489" s="83"/>
      <x:c r="M489" s="84"/>
    </x:row>
    <x:row r="490">
      <x:c r="F490" s="80"/>
      <x:c r="G490" s="82"/>
      <x:c r="J490" s="83"/>
      <x:c r="M490" s="84"/>
    </x:row>
    <x:row r="491">
      <x:c r="F491" s="80"/>
      <x:c r="G491" s="82"/>
      <x:c r="J491" s="83"/>
      <x:c r="M491" s="84"/>
    </x:row>
    <x:row r="492">
      <x:c r="F492" s="80"/>
      <x:c r="G492" s="82"/>
      <x:c r="J492" s="83"/>
      <x:c r="M492" s="84"/>
    </x:row>
    <x:row r="493">
      <x:c r="F493" s="80"/>
      <x:c r="G493" s="82"/>
      <x:c r="J493" s="83"/>
      <x:c r="M493" s="84"/>
    </x:row>
    <x:row r="494">
      <x:c r="F494" s="80"/>
      <x:c r="G494" s="82"/>
      <x:c r="J494" s="83"/>
      <x:c r="M494" s="84"/>
    </x:row>
    <x:row r="495">
      <x:c r="F495" s="80"/>
      <x:c r="G495" s="82"/>
      <x:c r="J495" s="83"/>
      <x:c r="M495" s="84"/>
    </x:row>
    <x:row r="496">
      <x:c r="F496" s="80"/>
      <x:c r="G496" s="82"/>
      <x:c r="J496" s="83"/>
      <x:c r="M496" s="84"/>
    </x:row>
    <x:row r="497">
      <x:c r="F497" s="80"/>
      <x:c r="G497" s="82"/>
      <x:c r="J497" s="83"/>
      <x:c r="M497" s="84"/>
    </x:row>
    <x:row r="498">
      <x:c r="F498" s="80"/>
      <x:c r="G498" s="82"/>
      <x:c r="J498" s="83"/>
      <x:c r="M498" s="84"/>
    </x:row>
    <x:row r="499">
      <x:c r="F499" s="80"/>
      <x:c r="G499" s="82"/>
      <x:c r="J499" s="83"/>
      <x:c r="M499" s="84"/>
    </x:row>
    <x:row r="500">
      <x:c r="F500" s="80"/>
      <x:c r="G500" s="82"/>
      <x:c r="J500" s="83"/>
      <x:c r="M500" s="84"/>
    </x:row>
  </x:sheetData>
  <x:mergeCells>
    <x:mergeCell ref="A1:N1"/>
    <x:mergeCell ref="A2:N2"/>
  </x:mergeCells>
  <x:dataValidations count="3">
    <x:dataValidation type="list" sqref="H5:H500">
      <x:formula1>"Not Checked,Text Available,OCR Required,OCR Complete,Failed"</x:formula1>
    </x:dataValidation>
    <x:dataValidation type="list" sqref="I5:I500">
      <x:formula1>"Not Processed,Processed,Partial,Skipped,Error"</x:formula1>
    </x:dataValidation>
    <x:dataValidation type="list" sqref="K5:K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17e6b251a64c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48" hidden="0" customWidth="1"/>
    <x:col min="4" max="4" width="28" hidden="0" customWidth="1"/>
    <x:col min="5" max="5" width="24" hidden="0" customWidth="1"/>
    <x:col min="6" max="6" width="34" hidden="0" customWidth="1"/>
    <x:col min="7" max="7" width="34" hidden="0" customWidth="1"/>
    <x:col min="8" max="8" width="12" hidden="0" customWidth="1"/>
    <x:col min="9" max="9" width="16" hidden="0" customWidth="1"/>
    <x:col min="10" max="10" width="20" hidden="0" customWidth="1"/>
    <x:col min="11" max="11" width="16" hidden="0" customWidth="1"/>
    <x:col min="12" max="12" width="46" hidden="0" customWidth="1"/>
  </x:cols>
  <x:sheetData>
    <x:row r="1" ht="32" customHeight="1">
      <x:c r="A1" s="87" t="str">
        <x:v>NEEDS REVIEW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</x:row>
    <x:row r="2" ht="34" customHeight="1">
      <x:c r="A2" s="79" t="str">
        <x:v>Only uncertain, conflicting, unreadable, or legally ambiguous information should appear here.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</x:row>
    <x:row r="4" ht="34" customHeight="1">
      <x:c r="A4" s="12" t="str">
        <x:v>REVIEW ID</x:v>
      </x:c>
      <x:c r="B4" s="13" t="str">
        <x:v>FILE NAME</x:v>
      </x:c>
      <x:c r="C4" s="13" t="str">
        <x:v>SOURCE LINK</x:v>
      </x:c>
      <x:c r="D4" s="13" t="str">
        <x:v>LINKED PERSON</x:v>
      </x:c>
      <x:c r="E4" s="13" t="str">
        <x:v>ISSUE TYPE</x:v>
      </x:c>
      <x:c r="F4" s="13" t="str">
        <x:v>EXTRACTED VALUE</x:v>
      </x:c>
      <x:c r="G4" s="13" t="str">
        <x:v>SUGGESTED VALUE</x:v>
      </x:c>
      <x:c r="H4" s="13" t="str">
        <x:v>CONFIDENCE</x:v>
      </x:c>
      <x:c r="I4" s="13" t="str">
        <x:v>STATUS</x:v>
      </x:c>
      <x:c r="J4" s="13" t="str">
        <x:v>REVIEWER</x:v>
      </x:c>
      <x:c r="K4" s="13" t="str">
        <x:v>REVIEWED DATE</x:v>
      </x:c>
      <x:c r="L4" s="14" t="str">
        <x:v>NOTES</x:v>
      </x:c>
    </x:row>
    <x:row r="5">
      <x:c r="H5" s="83"/>
      <x:c r="K5" s="80"/>
    </x:row>
    <x:row r="6">
      <x:c r="H6" s="83"/>
      <x:c r="K6" s="80"/>
    </x:row>
    <x:row r="7">
      <x:c r="H7" s="83"/>
      <x:c r="K7" s="80"/>
    </x:row>
    <x:row r="8">
      <x:c r="H8" s="83"/>
      <x:c r="K8" s="80"/>
    </x:row>
    <x:row r="9">
      <x:c r="H9" s="83"/>
      <x:c r="K9" s="80"/>
    </x:row>
    <x:row r="10">
      <x:c r="H10" s="83"/>
      <x:c r="K10" s="80"/>
    </x:row>
    <x:row r="11">
      <x:c r="H11" s="83"/>
      <x:c r="K11" s="80"/>
    </x:row>
    <x:row r="12">
      <x:c r="H12" s="83"/>
      <x:c r="K12" s="80"/>
    </x:row>
    <x:row r="13">
      <x:c r="H13" s="83"/>
      <x:c r="K13" s="80"/>
    </x:row>
    <x:row r="14">
      <x:c r="H14" s="83"/>
      <x:c r="K14" s="80"/>
    </x:row>
    <x:row r="15">
      <x:c r="H15" s="83"/>
      <x:c r="K15" s="80"/>
    </x:row>
    <x:row r="16">
      <x:c r="H16" s="83"/>
      <x:c r="K16" s="80"/>
    </x:row>
    <x:row r="17">
      <x:c r="H17" s="83"/>
      <x:c r="K17" s="80"/>
    </x:row>
    <x:row r="18">
      <x:c r="H18" s="83"/>
      <x:c r="K18" s="80"/>
    </x:row>
    <x:row r="19">
      <x:c r="H19" s="83"/>
      <x:c r="K19" s="80"/>
    </x:row>
    <x:row r="20">
      <x:c r="H20" s="83"/>
      <x:c r="K20" s="80"/>
    </x:row>
    <x:row r="21">
      <x:c r="H21" s="83"/>
      <x:c r="K21" s="80"/>
    </x:row>
    <x:row r="22">
      <x:c r="H22" s="83"/>
      <x:c r="K22" s="80"/>
    </x:row>
    <x:row r="23">
      <x:c r="H23" s="83"/>
      <x:c r="K23" s="80"/>
    </x:row>
    <x:row r="24">
      <x:c r="H24" s="83"/>
      <x:c r="K24" s="80"/>
    </x:row>
    <x:row r="25">
      <x:c r="H25" s="83"/>
      <x:c r="K25" s="80"/>
    </x:row>
    <x:row r="26">
      <x:c r="H26" s="83"/>
      <x:c r="K26" s="80"/>
    </x:row>
    <x:row r="27">
      <x:c r="H27" s="83"/>
      <x:c r="K27" s="80"/>
    </x:row>
    <x:row r="28">
      <x:c r="H28" s="83"/>
      <x:c r="K28" s="80"/>
    </x:row>
    <x:row r="29">
      <x:c r="H29" s="83"/>
      <x:c r="K29" s="80"/>
    </x:row>
    <x:row r="30">
      <x:c r="H30" s="83"/>
      <x:c r="K30" s="80"/>
    </x:row>
    <x:row r="31">
      <x:c r="H31" s="83"/>
      <x:c r="K31" s="80"/>
    </x:row>
    <x:row r="32">
      <x:c r="H32" s="83"/>
      <x:c r="K32" s="80"/>
    </x:row>
    <x:row r="33">
      <x:c r="H33" s="83"/>
      <x:c r="K33" s="80"/>
    </x:row>
    <x:row r="34">
      <x:c r="H34" s="83"/>
      <x:c r="K34" s="80"/>
    </x:row>
    <x:row r="35">
      <x:c r="H35" s="83"/>
      <x:c r="K35" s="80"/>
    </x:row>
    <x:row r="36">
      <x:c r="H36" s="83"/>
      <x:c r="K36" s="80"/>
    </x:row>
    <x:row r="37">
      <x:c r="H37" s="83"/>
      <x:c r="K37" s="80"/>
    </x:row>
    <x:row r="38">
      <x:c r="H38" s="83"/>
      <x:c r="K38" s="80"/>
    </x:row>
    <x:row r="39">
      <x:c r="H39" s="83"/>
      <x:c r="K39" s="80"/>
    </x:row>
    <x:row r="40">
      <x:c r="H40" s="83"/>
      <x:c r="K40" s="80"/>
    </x:row>
    <x:row r="41">
      <x:c r="H41" s="83"/>
      <x:c r="K41" s="80"/>
    </x:row>
    <x:row r="42">
      <x:c r="H42" s="83"/>
      <x:c r="K42" s="80"/>
    </x:row>
    <x:row r="43">
      <x:c r="H43" s="83"/>
      <x:c r="K43" s="80"/>
    </x:row>
    <x:row r="44">
      <x:c r="H44" s="83"/>
      <x:c r="K44" s="80"/>
    </x:row>
    <x:row r="45">
      <x:c r="H45" s="83"/>
      <x:c r="K45" s="80"/>
    </x:row>
    <x:row r="46">
      <x:c r="H46" s="83"/>
      <x:c r="K46" s="80"/>
    </x:row>
    <x:row r="47">
      <x:c r="H47" s="83"/>
      <x:c r="K47" s="80"/>
    </x:row>
    <x:row r="48">
      <x:c r="H48" s="83"/>
      <x:c r="K48" s="80"/>
    </x:row>
    <x:row r="49">
      <x:c r="H49" s="83"/>
      <x:c r="K49" s="80"/>
    </x:row>
    <x:row r="50">
      <x:c r="H50" s="83"/>
      <x:c r="K50" s="80"/>
    </x:row>
    <x:row r="51">
      <x:c r="H51" s="83"/>
      <x:c r="K51" s="80"/>
    </x:row>
    <x:row r="52">
      <x:c r="H52" s="83"/>
      <x:c r="K52" s="80"/>
    </x:row>
    <x:row r="53">
      <x:c r="H53" s="83"/>
      <x:c r="K53" s="80"/>
    </x:row>
    <x:row r="54">
      <x:c r="H54" s="83"/>
      <x:c r="K54" s="80"/>
    </x:row>
    <x:row r="55">
      <x:c r="H55" s="83"/>
      <x:c r="K55" s="80"/>
    </x:row>
    <x:row r="56">
      <x:c r="H56" s="83"/>
      <x:c r="K56" s="80"/>
    </x:row>
    <x:row r="57">
      <x:c r="H57" s="83"/>
      <x:c r="K57" s="80"/>
    </x:row>
    <x:row r="58">
      <x:c r="H58" s="83"/>
      <x:c r="K58" s="80"/>
    </x:row>
    <x:row r="59">
      <x:c r="H59" s="83"/>
      <x:c r="K59" s="80"/>
    </x:row>
    <x:row r="60">
      <x:c r="H60" s="83"/>
      <x:c r="K60" s="80"/>
    </x:row>
    <x:row r="61">
      <x:c r="H61" s="83"/>
      <x:c r="K61" s="80"/>
    </x:row>
    <x:row r="62">
      <x:c r="H62" s="83"/>
      <x:c r="K62" s="80"/>
    </x:row>
    <x:row r="63">
      <x:c r="H63" s="83"/>
      <x:c r="K63" s="80"/>
    </x:row>
    <x:row r="64">
      <x:c r="H64" s="83"/>
      <x:c r="K64" s="80"/>
    </x:row>
    <x:row r="65">
      <x:c r="H65" s="83"/>
      <x:c r="K65" s="80"/>
    </x:row>
    <x:row r="66">
      <x:c r="H66" s="83"/>
      <x:c r="K66" s="80"/>
    </x:row>
    <x:row r="67">
      <x:c r="H67" s="83"/>
      <x:c r="K67" s="80"/>
    </x:row>
    <x:row r="68">
      <x:c r="H68" s="83"/>
      <x:c r="K68" s="80"/>
    </x:row>
    <x:row r="69">
      <x:c r="H69" s="83"/>
      <x:c r="K69" s="80"/>
    </x:row>
    <x:row r="70">
      <x:c r="H70" s="83"/>
      <x:c r="K70" s="80"/>
    </x:row>
    <x:row r="71">
      <x:c r="H71" s="83"/>
      <x:c r="K71" s="80"/>
    </x:row>
    <x:row r="72">
      <x:c r="H72" s="83"/>
      <x:c r="K72" s="80"/>
    </x:row>
    <x:row r="73">
      <x:c r="H73" s="83"/>
      <x:c r="K73" s="80"/>
    </x:row>
    <x:row r="74">
      <x:c r="H74" s="83"/>
      <x:c r="K74" s="80"/>
    </x:row>
    <x:row r="75">
      <x:c r="H75" s="83"/>
      <x:c r="K75" s="80"/>
    </x:row>
    <x:row r="76">
      <x:c r="H76" s="83"/>
      <x:c r="K76" s="80"/>
    </x:row>
    <x:row r="77">
      <x:c r="H77" s="83"/>
      <x:c r="K77" s="80"/>
    </x:row>
    <x:row r="78">
      <x:c r="H78" s="83"/>
      <x:c r="K78" s="80"/>
    </x:row>
    <x:row r="79">
      <x:c r="H79" s="83"/>
      <x:c r="K79" s="80"/>
    </x:row>
    <x:row r="80">
      <x:c r="H80" s="83"/>
      <x:c r="K80" s="80"/>
    </x:row>
    <x:row r="81">
      <x:c r="H81" s="83"/>
      <x:c r="K81" s="80"/>
    </x:row>
    <x:row r="82">
      <x:c r="H82" s="83"/>
      <x:c r="K82" s="80"/>
    </x:row>
    <x:row r="83">
      <x:c r="H83" s="83"/>
      <x:c r="K83" s="80"/>
    </x:row>
    <x:row r="84">
      <x:c r="H84" s="83"/>
      <x:c r="K84" s="80"/>
    </x:row>
    <x:row r="85">
      <x:c r="H85" s="83"/>
      <x:c r="K85" s="80"/>
    </x:row>
    <x:row r="86">
      <x:c r="H86" s="83"/>
      <x:c r="K86" s="80"/>
    </x:row>
    <x:row r="87">
      <x:c r="H87" s="83"/>
      <x:c r="K87" s="80"/>
    </x:row>
    <x:row r="88">
      <x:c r="H88" s="83"/>
      <x:c r="K88" s="80"/>
    </x:row>
    <x:row r="89">
      <x:c r="H89" s="83"/>
      <x:c r="K89" s="80"/>
    </x:row>
    <x:row r="90">
      <x:c r="H90" s="83"/>
      <x:c r="K90" s="80"/>
    </x:row>
    <x:row r="91">
      <x:c r="H91" s="83"/>
      <x:c r="K91" s="80"/>
    </x:row>
    <x:row r="92">
      <x:c r="H92" s="83"/>
      <x:c r="K92" s="80"/>
    </x:row>
    <x:row r="93">
      <x:c r="H93" s="83"/>
      <x:c r="K93" s="80"/>
    </x:row>
    <x:row r="94">
      <x:c r="H94" s="83"/>
      <x:c r="K94" s="80"/>
    </x:row>
    <x:row r="95">
      <x:c r="H95" s="83"/>
      <x:c r="K95" s="80"/>
    </x:row>
    <x:row r="96">
      <x:c r="H96" s="83"/>
      <x:c r="K96" s="80"/>
    </x:row>
    <x:row r="97">
      <x:c r="H97" s="83"/>
      <x:c r="K97" s="80"/>
    </x:row>
    <x:row r="98">
      <x:c r="H98" s="83"/>
      <x:c r="K98" s="80"/>
    </x:row>
    <x:row r="99">
      <x:c r="H99" s="83"/>
      <x:c r="K99" s="80"/>
    </x:row>
    <x:row r="100">
      <x:c r="H100" s="83"/>
      <x:c r="K100" s="80"/>
    </x:row>
    <x:row r="101">
      <x:c r="H101" s="83"/>
      <x:c r="K101" s="80"/>
    </x:row>
    <x:row r="102">
      <x:c r="H102" s="83"/>
      <x:c r="K102" s="80"/>
    </x:row>
    <x:row r="103">
      <x:c r="H103" s="83"/>
      <x:c r="K103" s="80"/>
    </x:row>
    <x:row r="104">
      <x:c r="H104" s="83"/>
      <x:c r="K104" s="80"/>
    </x:row>
    <x:row r="105">
      <x:c r="H105" s="83"/>
      <x:c r="K105" s="80"/>
    </x:row>
    <x:row r="106">
      <x:c r="H106" s="83"/>
      <x:c r="K106" s="80"/>
    </x:row>
    <x:row r="107">
      <x:c r="H107" s="83"/>
      <x:c r="K107" s="80"/>
    </x:row>
    <x:row r="108">
      <x:c r="H108" s="83"/>
      <x:c r="K108" s="80"/>
    </x:row>
    <x:row r="109">
      <x:c r="H109" s="83"/>
      <x:c r="K109" s="80"/>
    </x:row>
    <x:row r="110">
      <x:c r="H110" s="83"/>
      <x:c r="K110" s="80"/>
    </x:row>
    <x:row r="111">
      <x:c r="H111" s="83"/>
      <x:c r="K111" s="80"/>
    </x:row>
    <x:row r="112">
      <x:c r="H112" s="83"/>
      <x:c r="K112" s="80"/>
    </x:row>
    <x:row r="113">
      <x:c r="H113" s="83"/>
      <x:c r="K113" s="80"/>
    </x:row>
    <x:row r="114">
      <x:c r="H114" s="83"/>
      <x:c r="K114" s="80"/>
    </x:row>
    <x:row r="115">
      <x:c r="H115" s="83"/>
      <x:c r="K115" s="80"/>
    </x:row>
    <x:row r="116">
      <x:c r="H116" s="83"/>
      <x:c r="K116" s="80"/>
    </x:row>
    <x:row r="117">
      <x:c r="H117" s="83"/>
      <x:c r="K117" s="80"/>
    </x:row>
    <x:row r="118">
      <x:c r="H118" s="83"/>
      <x:c r="K118" s="80"/>
    </x:row>
    <x:row r="119">
      <x:c r="H119" s="83"/>
      <x:c r="K119" s="80"/>
    </x:row>
    <x:row r="120">
      <x:c r="H120" s="83"/>
      <x:c r="K120" s="80"/>
    </x:row>
    <x:row r="121">
      <x:c r="H121" s="83"/>
      <x:c r="K121" s="80"/>
    </x:row>
    <x:row r="122">
      <x:c r="H122" s="83"/>
      <x:c r="K122" s="80"/>
    </x:row>
    <x:row r="123">
      <x:c r="H123" s="83"/>
      <x:c r="K123" s="80"/>
    </x:row>
    <x:row r="124">
      <x:c r="H124" s="83"/>
      <x:c r="K124" s="80"/>
    </x:row>
    <x:row r="125">
      <x:c r="H125" s="83"/>
      <x:c r="K125" s="80"/>
    </x:row>
    <x:row r="126">
      <x:c r="H126" s="83"/>
      <x:c r="K126" s="80"/>
    </x:row>
    <x:row r="127">
      <x:c r="H127" s="83"/>
      <x:c r="K127" s="80"/>
    </x:row>
    <x:row r="128">
      <x:c r="H128" s="83"/>
      <x:c r="K128" s="80"/>
    </x:row>
    <x:row r="129">
      <x:c r="H129" s="83"/>
      <x:c r="K129" s="80"/>
    </x:row>
    <x:row r="130">
      <x:c r="H130" s="83"/>
      <x:c r="K130" s="80"/>
    </x:row>
    <x:row r="131">
      <x:c r="H131" s="83"/>
      <x:c r="K131" s="80"/>
    </x:row>
    <x:row r="132">
      <x:c r="H132" s="83"/>
      <x:c r="K132" s="80"/>
    </x:row>
    <x:row r="133">
      <x:c r="H133" s="83"/>
      <x:c r="K133" s="80"/>
    </x:row>
    <x:row r="134">
      <x:c r="H134" s="83"/>
      <x:c r="K134" s="80"/>
    </x:row>
    <x:row r="135">
      <x:c r="H135" s="83"/>
      <x:c r="K135" s="80"/>
    </x:row>
    <x:row r="136">
      <x:c r="H136" s="83"/>
      <x:c r="K136" s="80"/>
    </x:row>
    <x:row r="137">
      <x:c r="H137" s="83"/>
      <x:c r="K137" s="80"/>
    </x:row>
    <x:row r="138">
      <x:c r="H138" s="83"/>
      <x:c r="K138" s="80"/>
    </x:row>
    <x:row r="139">
      <x:c r="H139" s="83"/>
      <x:c r="K139" s="80"/>
    </x:row>
    <x:row r="140">
      <x:c r="H140" s="83"/>
      <x:c r="K140" s="80"/>
    </x:row>
    <x:row r="141">
      <x:c r="H141" s="83"/>
      <x:c r="K141" s="80"/>
    </x:row>
    <x:row r="142">
      <x:c r="H142" s="83"/>
      <x:c r="K142" s="80"/>
    </x:row>
    <x:row r="143">
      <x:c r="H143" s="83"/>
      <x:c r="K143" s="80"/>
    </x:row>
    <x:row r="144">
      <x:c r="H144" s="83"/>
      <x:c r="K144" s="80"/>
    </x:row>
    <x:row r="145">
      <x:c r="H145" s="83"/>
      <x:c r="K145" s="80"/>
    </x:row>
    <x:row r="146">
      <x:c r="H146" s="83"/>
      <x:c r="K146" s="80"/>
    </x:row>
    <x:row r="147">
      <x:c r="H147" s="83"/>
      <x:c r="K147" s="80"/>
    </x:row>
    <x:row r="148">
      <x:c r="H148" s="83"/>
      <x:c r="K148" s="80"/>
    </x:row>
    <x:row r="149">
      <x:c r="H149" s="83"/>
      <x:c r="K149" s="80"/>
    </x:row>
    <x:row r="150">
      <x:c r="H150" s="83"/>
      <x:c r="K150" s="80"/>
    </x:row>
    <x:row r="151">
      <x:c r="H151" s="83"/>
      <x:c r="K151" s="80"/>
    </x:row>
    <x:row r="152">
      <x:c r="H152" s="83"/>
      <x:c r="K152" s="80"/>
    </x:row>
    <x:row r="153">
      <x:c r="H153" s="83"/>
      <x:c r="K153" s="80"/>
    </x:row>
    <x:row r="154">
      <x:c r="H154" s="83"/>
      <x:c r="K154" s="80"/>
    </x:row>
    <x:row r="155">
      <x:c r="H155" s="83"/>
      <x:c r="K155" s="80"/>
    </x:row>
    <x:row r="156">
      <x:c r="H156" s="83"/>
      <x:c r="K156" s="80"/>
    </x:row>
    <x:row r="157">
      <x:c r="H157" s="83"/>
      <x:c r="K157" s="80"/>
    </x:row>
    <x:row r="158">
      <x:c r="H158" s="83"/>
      <x:c r="K158" s="80"/>
    </x:row>
    <x:row r="159">
      <x:c r="H159" s="83"/>
      <x:c r="K159" s="80"/>
    </x:row>
    <x:row r="160">
      <x:c r="H160" s="83"/>
      <x:c r="K160" s="80"/>
    </x:row>
    <x:row r="161">
      <x:c r="H161" s="83"/>
      <x:c r="K161" s="80"/>
    </x:row>
    <x:row r="162">
      <x:c r="H162" s="83"/>
      <x:c r="K162" s="80"/>
    </x:row>
    <x:row r="163">
      <x:c r="H163" s="83"/>
      <x:c r="K163" s="80"/>
    </x:row>
    <x:row r="164">
      <x:c r="H164" s="83"/>
      <x:c r="K164" s="80"/>
    </x:row>
    <x:row r="165">
      <x:c r="H165" s="83"/>
      <x:c r="K165" s="80"/>
    </x:row>
    <x:row r="166">
      <x:c r="H166" s="83"/>
      <x:c r="K166" s="80"/>
    </x:row>
    <x:row r="167">
      <x:c r="H167" s="83"/>
      <x:c r="K167" s="80"/>
    </x:row>
    <x:row r="168">
      <x:c r="H168" s="83"/>
      <x:c r="K168" s="80"/>
    </x:row>
    <x:row r="169">
      <x:c r="H169" s="83"/>
      <x:c r="K169" s="80"/>
    </x:row>
    <x:row r="170">
      <x:c r="H170" s="83"/>
      <x:c r="K170" s="80"/>
    </x:row>
    <x:row r="171">
      <x:c r="H171" s="83"/>
      <x:c r="K171" s="80"/>
    </x:row>
    <x:row r="172">
      <x:c r="H172" s="83"/>
      <x:c r="K172" s="80"/>
    </x:row>
    <x:row r="173">
      <x:c r="H173" s="83"/>
      <x:c r="K173" s="80"/>
    </x:row>
    <x:row r="174">
      <x:c r="H174" s="83"/>
      <x:c r="K174" s="80"/>
    </x:row>
    <x:row r="175">
      <x:c r="H175" s="83"/>
      <x:c r="K175" s="80"/>
    </x:row>
    <x:row r="176">
      <x:c r="H176" s="83"/>
      <x:c r="K176" s="80"/>
    </x:row>
    <x:row r="177">
      <x:c r="H177" s="83"/>
      <x:c r="K177" s="80"/>
    </x:row>
    <x:row r="178">
      <x:c r="H178" s="83"/>
      <x:c r="K178" s="80"/>
    </x:row>
    <x:row r="179">
      <x:c r="H179" s="83"/>
      <x:c r="K179" s="80"/>
    </x:row>
    <x:row r="180">
      <x:c r="H180" s="83"/>
      <x:c r="K180" s="80"/>
    </x:row>
    <x:row r="181">
      <x:c r="H181" s="83"/>
      <x:c r="K181" s="80"/>
    </x:row>
    <x:row r="182">
      <x:c r="H182" s="83"/>
      <x:c r="K182" s="80"/>
    </x:row>
    <x:row r="183">
      <x:c r="H183" s="83"/>
      <x:c r="K183" s="80"/>
    </x:row>
    <x:row r="184">
      <x:c r="H184" s="83"/>
      <x:c r="K184" s="80"/>
    </x:row>
    <x:row r="185">
      <x:c r="H185" s="83"/>
      <x:c r="K185" s="80"/>
    </x:row>
    <x:row r="186">
      <x:c r="H186" s="83"/>
      <x:c r="K186" s="80"/>
    </x:row>
    <x:row r="187">
      <x:c r="H187" s="83"/>
      <x:c r="K187" s="80"/>
    </x:row>
    <x:row r="188">
      <x:c r="H188" s="83"/>
      <x:c r="K188" s="80"/>
    </x:row>
    <x:row r="189">
      <x:c r="H189" s="83"/>
      <x:c r="K189" s="80"/>
    </x:row>
    <x:row r="190">
      <x:c r="H190" s="83"/>
      <x:c r="K190" s="80"/>
    </x:row>
    <x:row r="191">
      <x:c r="H191" s="83"/>
      <x:c r="K191" s="80"/>
    </x:row>
    <x:row r="192">
      <x:c r="H192" s="83"/>
      <x:c r="K192" s="80"/>
    </x:row>
    <x:row r="193">
      <x:c r="H193" s="83"/>
      <x:c r="K193" s="80"/>
    </x:row>
    <x:row r="194">
      <x:c r="H194" s="83"/>
      <x:c r="K194" s="80"/>
    </x:row>
    <x:row r="195">
      <x:c r="H195" s="83"/>
      <x:c r="K195" s="80"/>
    </x:row>
    <x:row r="196">
      <x:c r="H196" s="83"/>
      <x:c r="K196" s="80"/>
    </x:row>
    <x:row r="197">
      <x:c r="H197" s="83"/>
      <x:c r="K197" s="80"/>
    </x:row>
    <x:row r="198">
      <x:c r="H198" s="83"/>
      <x:c r="K198" s="80"/>
    </x:row>
    <x:row r="199">
      <x:c r="H199" s="83"/>
      <x:c r="K199" s="80"/>
    </x:row>
    <x:row r="200">
      <x:c r="H200" s="83"/>
      <x:c r="K200" s="80"/>
    </x:row>
    <x:row r="201">
      <x:c r="H201" s="83"/>
      <x:c r="K201" s="80"/>
    </x:row>
    <x:row r="202">
      <x:c r="H202" s="83"/>
      <x:c r="K202" s="80"/>
    </x:row>
    <x:row r="203">
      <x:c r="H203" s="83"/>
      <x:c r="K203" s="80"/>
    </x:row>
    <x:row r="204">
      <x:c r="H204" s="83"/>
      <x:c r="K204" s="80"/>
    </x:row>
    <x:row r="205">
      <x:c r="H205" s="83"/>
      <x:c r="K205" s="80"/>
    </x:row>
    <x:row r="206">
      <x:c r="H206" s="83"/>
      <x:c r="K206" s="80"/>
    </x:row>
    <x:row r="207">
      <x:c r="H207" s="83"/>
      <x:c r="K207" s="80"/>
    </x:row>
    <x:row r="208">
      <x:c r="H208" s="83"/>
      <x:c r="K208" s="80"/>
    </x:row>
    <x:row r="209">
      <x:c r="H209" s="83"/>
      <x:c r="K209" s="80"/>
    </x:row>
    <x:row r="210">
      <x:c r="H210" s="83"/>
      <x:c r="K210" s="80"/>
    </x:row>
    <x:row r="211">
      <x:c r="H211" s="83"/>
      <x:c r="K211" s="80"/>
    </x:row>
    <x:row r="212">
      <x:c r="H212" s="83"/>
      <x:c r="K212" s="80"/>
    </x:row>
    <x:row r="213">
      <x:c r="H213" s="83"/>
      <x:c r="K213" s="80"/>
    </x:row>
    <x:row r="214">
      <x:c r="H214" s="83"/>
      <x:c r="K214" s="80"/>
    </x:row>
    <x:row r="215">
      <x:c r="H215" s="83"/>
      <x:c r="K215" s="80"/>
    </x:row>
    <x:row r="216">
      <x:c r="H216" s="83"/>
      <x:c r="K216" s="80"/>
    </x:row>
    <x:row r="217">
      <x:c r="H217" s="83"/>
      <x:c r="K217" s="80"/>
    </x:row>
    <x:row r="218">
      <x:c r="H218" s="83"/>
      <x:c r="K218" s="80"/>
    </x:row>
    <x:row r="219">
      <x:c r="H219" s="83"/>
      <x:c r="K219" s="80"/>
    </x:row>
    <x:row r="220">
      <x:c r="H220" s="83"/>
      <x:c r="K220" s="80"/>
    </x:row>
    <x:row r="221">
      <x:c r="H221" s="83"/>
      <x:c r="K221" s="80"/>
    </x:row>
    <x:row r="222">
      <x:c r="H222" s="83"/>
      <x:c r="K222" s="80"/>
    </x:row>
    <x:row r="223">
      <x:c r="H223" s="83"/>
      <x:c r="K223" s="80"/>
    </x:row>
    <x:row r="224">
      <x:c r="H224" s="83"/>
      <x:c r="K224" s="80"/>
    </x:row>
    <x:row r="225">
      <x:c r="H225" s="83"/>
      <x:c r="K225" s="80"/>
    </x:row>
    <x:row r="226">
      <x:c r="H226" s="83"/>
      <x:c r="K226" s="80"/>
    </x:row>
    <x:row r="227">
      <x:c r="H227" s="83"/>
      <x:c r="K227" s="80"/>
    </x:row>
    <x:row r="228">
      <x:c r="H228" s="83"/>
      <x:c r="K228" s="80"/>
    </x:row>
    <x:row r="229">
      <x:c r="H229" s="83"/>
      <x:c r="K229" s="80"/>
    </x:row>
    <x:row r="230">
      <x:c r="H230" s="83"/>
      <x:c r="K230" s="80"/>
    </x:row>
    <x:row r="231">
      <x:c r="H231" s="83"/>
      <x:c r="K231" s="80"/>
    </x:row>
    <x:row r="232">
      <x:c r="H232" s="83"/>
      <x:c r="K232" s="80"/>
    </x:row>
    <x:row r="233">
      <x:c r="H233" s="83"/>
      <x:c r="K233" s="80"/>
    </x:row>
    <x:row r="234">
      <x:c r="H234" s="83"/>
      <x:c r="K234" s="80"/>
    </x:row>
    <x:row r="235">
      <x:c r="H235" s="83"/>
      <x:c r="K235" s="80"/>
    </x:row>
    <x:row r="236">
      <x:c r="H236" s="83"/>
      <x:c r="K236" s="80"/>
    </x:row>
    <x:row r="237">
      <x:c r="H237" s="83"/>
      <x:c r="K237" s="80"/>
    </x:row>
    <x:row r="238">
      <x:c r="H238" s="83"/>
      <x:c r="K238" s="80"/>
    </x:row>
    <x:row r="239">
      <x:c r="H239" s="83"/>
      <x:c r="K239" s="80"/>
    </x:row>
    <x:row r="240">
      <x:c r="H240" s="83"/>
      <x:c r="K240" s="80"/>
    </x:row>
    <x:row r="241">
      <x:c r="H241" s="83"/>
      <x:c r="K241" s="80"/>
    </x:row>
    <x:row r="242">
      <x:c r="H242" s="83"/>
      <x:c r="K242" s="80"/>
    </x:row>
    <x:row r="243">
      <x:c r="H243" s="83"/>
      <x:c r="K243" s="80"/>
    </x:row>
    <x:row r="244">
      <x:c r="H244" s="83"/>
      <x:c r="K244" s="80"/>
    </x:row>
    <x:row r="245">
      <x:c r="H245" s="83"/>
      <x:c r="K245" s="80"/>
    </x:row>
    <x:row r="246">
      <x:c r="H246" s="83"/>
      <x:c r="K246" s="80"/>
    </x:row>
    <x:row r="247">
      <x:c r="H247" s="83"/>
      <x:c r="K247" s="80"/>
    </x:row>
    <x:row r="248">
      <x:c r="H248" s="83"/>
      <x:c r="K248" s="80"/>
    </x:row>
    <x:row r="249">
      <x:c r="H249" s="83"/>
      <x:c r="K249" s="80"/>
    </x:row>
    <x:row r="250">
      <x:c r="H250" s="83"/>
      <x:c r="K250" s="80"/>
    </x:row>
    <x:row r="251">
      <x:c r="H251" s="83"/>
      <x:c r="K251" s="80"/>
    </x:row>
    <x:row r="252">
      <x:c r="H252" s="83"/>
      <x:c r="K252" s="80"/>
    </x:row>
    <x:row r="253">
      <x:c r="H253" s="83"/>
      <x:c r="K253" s="80"/>
    </x:row>
    <x:row r="254">
      <x:c r="H254" s="83"/>
      <x:c r="K254" s="80"/>
    </x:row>
    <x:row r="255">
      <x:c r="H255" s="83"/>
      <x:c r="K255" s="80"/>
    </x:row>
    <x:row r="256">
      <x:c r="H256" s="83"/>
      <x:c r="K256" s="80"/>
    </x:row>
    <x:row r="257">
      <x:c r="H257" s="83"/>
      <x:c r="K257" s="80"/>
    </x:row>
    <x:row r="258">
      <x:c r="H258" s="83"/>
      <x:c r="K258" s="80"/>
    </x:row>
    <x:row r="259">
      <x:c r="H259" s="83"/>
      <x:c r="K259" s="80"/>
    </x:row>
    <x:row r="260">
      <x:c r="H260" s="83"/>
      <x:c r="K260" s="80"/>
    </x:row>
    <x:row r="261">
      <x:c r="H261" s="83"/>
      <x:c r="K261" s="80"/>
    </x:row>
    <x:row r="262">
      <x:c r="H262" s="83"/>
      <x:c r="K262" s="80"/>
    </x:row>
    <x:row r="263">
      <x:c r="H263" s="83"/>
      <x:c r="K263" s="80"/>
    </x:row>
    <x:row r="264">
      <x:c r="H264" s="83"/>
      <x:c r="K264" s="80"/>
    </x:row>
    <x:row r="265">
      <x:c r="H265" s="83"/>
      <x:c r="K265" s="80"/>
    </x:row>
    <x:row r="266">
      <x:c r="H266" s="83"/>
      <x:c r="K266" s="80"/>
    </x:row>
    <x:row r="267">
      <x:c r="H267" s="83"/>
      <x:c r="K267" s="80"/>
    </x:row>
    <x:row r="268">
      <x:c r="H268" s="83"/>
      <x:c r="K268" s="80"/>
    </x:row>
    <x:row r="269">
      <x:c r="H269" s="83"/>
      <x:c r="K269" s="80"/>
    </x:row>
    <x:row r="270">
      <x:c r="H270" s="83"/>
      <x:c r="K270" s="80"/>
    </x:row>
    <x:row r="271">
      <x:c r="H271" s="83"/>
      <x:c r="K271" s="80"/>
    </x:row>
    <x:row r="272">
      <x:c r="H272" s="83"/>
      <x:c r="K272" s="80"/>
    </x:row>
    <x:row r="273">
      <x:c r="H273" s="83"/>
      <x:c r="K273" s="80"/>
    </x:row>
    <x:row r="274">
      <x:c r="H274" s="83"/>
      <x:c r="K274" s="80"/>
    </x:row>
    <x:row r="275">
      <x:c r="H275" s="83"/>
      <x:c r="K275" s="80"/>
    </x:row>
    <x:row r="276">
      <x:c r="H276" s="83"/>
      <x:c r="K276" s="80"/>
    </x:row>
    <x:row r="277">
      <x:c r="H277" s="83"/>
      <x:c r="K277" s="80"/>
    </x:row>
    <x:row r="278">
      <x:c r="H278" s="83"/>
      <x:c r="K278" s="80"/>
    </x:row>
    <x:row r="279">
      <x:c r="H279" s="83"/>
      <x:c r="K279" s="80"/>
    </x:row>
    <x:row r="280">
      <x:c r="H280" s="83"/>
      <x:c r="K280" s="80"/>
    </x:row>
    <x:row r="281">
      <x:c r="H281" s="83"/>
      <x:c r="K281" s="80"/>
    </x:row>
    <x:row r="282">
      <x:c r="H282" s="83"/>
      <x:c r="K282" s="80"/>
    </x:row>
    <x:row r="283">
      <x:c r="H283" s="83"/>
      <x:c r="K283" s="80"/>
    </x:row>
    <x:row r="284">
      <x:c r="H284" s="83"/>
      <x:c r="K284" s="80"/>
    </x:row>
    <x:row r="285">
      <x:c r="H285" s="83"/>
      <x:c r="K285" s="80"/>
    </x:row>
    <x:row r="286">
      <x:c r="H286" s="83"/>
      <x:c r="K286" s="80"/>
    </x:row>
    <x:row r="287">
      <x:c r="H287" s="83"/>
      <x:c r="K287" s="80"/>
    </x:row>
    <x:row r="288">
      <x:c r="H288" s="83"/>
      <x:c r="K288" s="80"/>
    </x:row>
    <x:row r="289">
      <x:c r="H289" s="83"/>
      <x:c r="K289" s="80"/>
    </x:row>
    <x:row r="290">
      <x:c r="H290" s="83"/>
      <x:c r="K290" s="80"/>
    </x:row>
    <x:row r="291">
      <x:c r="H291" s="83"/>
      <x:c r="K291" s="80"/>
    </x:row>
    <x:row r="292">
      <x:c r="H292" s="83"/>
      <x:c r="K292" s="80"/>
    </x:row>
    <x:row r="293">
      <x:c r="H293" s="83"/>
      <x:c r="K293" s="80"/>
    </x:row>
    <x:row r="294">
      <x:c r="H294" s="83"/>
      <x:c r="K294" s="80"/>
    </x:row>
    <x:row r="295">
      <x:c r="H295" s="83"/>
      <x:c r="K295" s="80"/>
    </x:row>
    <x:row r="296">
      <x:c r="H296" s="83"/>
      <x:c r="K296" s="80"/>
    </x:row>
    <x:row r="297">
      <x:c r="H297" s="83"/>
      <x:c r="K297" s="80"/>
    </x:row>
    <x:row r="298">
      <x:c r="H298" s="83"/>
      <x:c r="K298" s="80"/>
    </x:row>
    <x:row r="299">
      <x:c r="H299" s="83"/>
      <x:c r="K299" s="80"/>
    </x:row>
    <x:row r="300">
      <x:c r="H300" s="83"/>
      <x:c r="K300" s="80"/>
    </x:row>
    <x:row r="301">
      <x:c r="H301" s="83"/>
      <x:c r="K301" s="80"/>
    </x:row>
    <x:row r="302">
      <x:c r="H302" s="83"/>
      <x:c r="K302" s="80"/>
    </x:row>
    <x:row r="303">
      <x:c r="H303" s="83"/>
      <x:c r="K303" s="80"/>
    </x:row>
    <x:row r="304">
      <x:c r="H304" s="83"/>
      <x:c r="K304" s="80"/>
    </x:row>
    <x:row r="305">
      <x:c r="H305" s="83"/>
      <x:c r="K305" s="80"/>
    </x:row>
    <x:row r="306">
      <x:c r="H306" s="83"/>
      <x:c r="K306" s="80"/>
    </x:row>
    <x:row r="307">
      <x:c r="H307" s="83"/>
      <x:c r="K307" s="80"/>
    </x:row>
    <x:row r="308">
      <x:c r="H308" s="83"/>
      <x:c r="K308" s="80"/>
    </x:row>
    <x:row r="309">
      <x:c r="H309" s="83"/>
      <x:c r="K309" s="80"/>
    </x:row>
    <x:row r="310">
      <x:c r="H310" s="83"/>
      <x:c r="K310" s="80"/>
    </x:row>
    <x:row r="311">
      <x:c r="H311" s="83"/>
      <x:c r="K311" s="80"/>
    </x:row>
    <x:row r="312">
      <x:c r="H312" s="83"/>
      <x:c r="K312" s="80"/>
    </x:row>
    <x:row r="313">
      <x:c r="H313" s="83"/>
      <x:c r="K313" s="80"/>
    </x:row>
    <x:row r="314">
      <x:c r="H314" s="83"/>
      <x:c r="K314" s="80"/>
    </x:row>
    <x:row r="315">
      <x:c r="H315" s="83"/>
      <x:c r="K315" s="80"/>
    </x:row>
    <x:row r="316">
      <x:c r="H316" s="83"/>
      <x:c r="K316" s="80"/>
    </x:row>
    <x:row r="317">
      <x:c r="H317" s="83"/>
      <x:c r="K317" s="80"/>
    </x:row>
    <x:row r="318">
      <x:c r="H318" s="83"/>
      <x:c r="K318" s="80"/>
    </x:row>
    <x:row r="319">
      <x:c r="H319" s="83"/>
      <x:c r="K319" s="80"/>
    </x:row>
    <x:row r="320">
      <x:c r="H320" s="83"/>
      <x:c r="K320" s="80"/>
    </x:row>
    <x:row r="321">
      <x:c r="H321" s="83"/>
      <x:c r="K321" s="80"/>
    </x:row>
    <x:row r="322">
      <x:c r="H322" s="83"/>
      <x:c r="K322" s="80"/>
    </x:row>
    <x:row r="323">
      <x:c r="H323" s="83"/>
      <x:c r="K323" s="80"/>
    </x:row>
    <x:row r="324">
      <x:c r="H324" s="83"/>
      <x:c r="K324" s="80"/>
    </x:row>
    <x:row r="325">
      <x:c r="H325" s="83"/>
      <x:c r="K325" s="80"/>
    </x:row>
    <x:row r="326">
      <x:c r="H326" s="83"/>
      <x:c r="K326" s="80"/>
    </x:row>
    <x:row r="327">
      <x:c r="H327" s="83"/>
      <x:c r="K327" s="80"/>
    </x:row>
    <x:row r="328">
      <x:c r="H328" s="83"/>
      <x:c r="K328" s="80"/>
    </x:row>
    <x:row r="329">
      <x:c r="H329" s="83"/>
      <x:c r="K329" s="80"/>
    </x:row>
    <x:row r="330">
      <x:c r="H330" s="83"/>
      <x:c r="K330" s="80"/>
    </x:row>
    <x:row r="331">
      <x:c r="H331" s="83"/>
      <x:c r="K331" s="80"/>
    </x:row>
    <x:row r="332">
      <x:c r="H332" s="83"/>
      <x:c r="K332" s="80"/>
    </x:row>
    <x:row r="333">
      <x:c r="H333" s="83"/>
      <x:c r="K333" s="80"/>
    </x:row>
    <x:row r="334">
      <x:c r="H334" s="83"/>
      <x:c r="K334" s="80"/>
    </x:row>
    <x:row r="335">
      <x:c r="H335" s="83"/>
      <x:c r="K335" s="80"/>
    </x:row>
    <x:row r="336">
      <x:c r="H336" s="83"/>
      <x:c r="K336" s="80"/>
    </x:row>
    <x:row r="337">
      <x:c r="H337" s="83"/>
      <x:c r="K337" s="80"/>
    </x:row>
    <x:row r="338">
      <x:c r="H338" s="83"/>
      <x:c r="K338" s="80"/>
    </x:row>
    <x:row r="339">
      <x:c r="H339" s="83"/>
      <x:c r="K339" s="80"/>
    </x:row>
    <x:row r="340">
      <x:c r="H340" s="83"/>
      <x:c r="K340" s="80"/>
    </x:row>
    <x:row r="341">
      <x:c r="H341" s="83"/>
      <x:c r="K341" s="80"/>
    </x:row>
    <x:row r="342">
      <x:c r="H342" s="83"/>
      <x:c r="K342" s="80"/>
    </x:row>
    <x:row r="343">
      <x:c r="H343" s="83"/>
      <x:c r="K343" s="80"/>
    </x:row>
    <x:row r="344">
      <x:c r="H344" s="83"/>
      <x:c r="K344" s="80"/>
    </x:row>
    <x:row r="345">
      <x:c r="H345" s="83"/>
      <x:c r="K345" s="80"/>
    </x:row>
    <x:row r="346">
      <x:c r="H346" s="83"/>
      <x:c r="K346" s="80"/>
    </x:row>
    <x:row r="347">
      <x:c r="H347" s="83"/>
      <x:c r="K347" s="80"/>
    </x:row>
    <x:row r="348">
      <x:c r="H348" s="83"/>
      <x:c r="K348" s="80"/>
    </x:row>
    <x:row r="349">
      <x:c r="H349" s="83"/>
      <x:c r="K349" s="80"/>
    </x:row>
    <x:row r="350">
      <x:c r="H350" s="83"/>
      <x:c r="K350" s="80"/>
    </x:row>
    <x:row r="351">
      <x:c r="H351" s="83"/>
      <x:c r="K351" s="80"/>
    </x:row>
    <x:row r="352">
      <x:c r="H352" s="83"/>
      <x:c r="K352" s="80"/>
    </x:row>
    <x:row r="353">
      <x:c r="H353" s="83"/>
      <x:c r="K353" s="80"/>
    </x:row>
    <x:row r="354">
      <x:c r="H354" s="83"/>
      <x:c r="K354" s="80"/>
    </x:row>
    <x:row r="355">
      <x:c r="H355" s="83"/>
      <x:c r="K355" s="80"/>
    </x:row>
    <x:row r="356">
      <x:c r="H356" s="83"/>
      <x:c r="K356" s="80"/>
    </x:row>
    <x:row r="357">
      <x:c r="H357" s="83"/>
      <x:c r="K357" s="80"/>
    </x:row>
    <x:row r="358">
      <x:c r="H358" s="83"/>
      <x:c r="K358" s="80"/>
    </x:row>
    <x:row r="359">
      <x:c r="H359" s="83"/>
      <x:c r="K359" s="80"/>
    </x:row>
    <x:row r="360">
      <x:c r="H360" s="83"/>
      <x:c r="K360" s="80"/>
    </x:row>
    <x:row r="361">
      <x:c r="H361" s="83"/>
      <x:c r="K361" s="80"/>
    </x:row>
    <x:row r="362">
      <x:c r="H362" s="83"/>
      <x:c r="K362" s="80"/>
    </x:row>
    <x:row r="363">
      <x:c r="H363" s="83"/>
      <x:c r="K363" s="80"/>
    </x:row>
    <x:row r="364">
      <x:c r="H364" s="83"/>
      <x:c r="K364" s="80"/>
    </x:row>
    <x:row r="365">
      <x:c r="H365" s="83"/>
      <x:c r="K365" s="80"/>
    </x:row>
    <x:row r="366">
      <x:c r="H366" s="83"/>
      <x:c r="K366" s="80"/>
    </x:row>
    <x:row r="367">
      <x:c r="H367" s="83"/>
      <x:c r="K367" s="80"/>
    </x:row>
    <x:row r="368">
      <x:c r="H368" s="83"/>
      <x:c r="K368" s="80"/>
    </x:row>
    <x:row r="369">
      <x:c r="H369" s="83"/>
      <x:c r="K369" s="80"/>
    </x:row>
    <x:row r="370">
      <x:c r="H370" s="83"/>
      <x:c r="K370" s="80"/>
    </x:row>
    <x:row r="371">
      <x:c r="H371" s="83"/>
      <x:c r="K371" s="80"/>
    </x:row>
    <x:row r="372">
      <x:c r="H372" s="83"/>
      <x:c r="K372" s="80"/>
    </x:row>
    <x:row r="373">
      <x:c r="H373" s="83"/>
      <x:c r="K373" s="80"/>
    </x:row>
    <x:row r="374">
      <x:c r="H374" s="83"/>
      <x:c r="K374" s="80"/>
    </x:row>
    <x:row r="375">
      <x:c r="H375" s="83"/>
      <x:c r="K375" s="80"/>
    </x:row>
    <x:row r="376">
      <x:c r="H376" s="83"/>
      <x:c r="K376" s="80"/>
    </x:row>
    <x:row r="377">
      <x:c r="H377" s="83"/>
      <x:c r="K377" s="80"/>
    </x:row>
    <x:row r="378">
      <x:c r="H378" s="83"/>
      <x:c r="K378" s="80"/>
    </x:row>
    <x:row r="379">
      <x:c r="H379" s="83"/>
      <x:c r="K379" s="80"/>
    </x:row>
    <x:row r="380">
      <x:c r="H380" s="83"/>
      <x:c r="K380" s="80"/>
    </x:row>
    <x:row r="381">
      <x:c r="H381" s="83"/>
      <x:c r="K381" s="80"/>
    </x:row>
    <x:row r="382">
      <x:c r="H382" s="83"/>
      <x:c r="K382" s="80"/>
    </x:row>
    <x:row r="383">
      <x:c r="H383" s="83"/>
      <x:c r="K383" s="80"/>
    </x:row>
    <x:row r="384">
      <x:c r="H384" s="83"/>
      <x:c r="K384" s="80"/>
    </x:row>
    <x:row r="385">
      <x:c r="H385" s="83"/>
      <x:c r="K385" s="80"/>
    </x:row>
    <x:row r="386">
      <x:c r="H386" s="83"/>
      <x:c r="K386" s="80"/>
    </x:row>
    <x:row r="387">
      <x:c r="H387" s="83"/>
      <x:c r="K387" s="80"/>
    </x:row>
    <x:row r="388">
      <x:c r="H388" s="83"/>
      <x:c r="K388" s="80"/>
    </x:row>
    <x:row r="389">
      <x:c r="H389" s="83"/>
      <x:c r="K389" s="80"/>
    </x:row>
    <x:row r="390">
      <x:c r="H390" s="83"/>
      <x:c r="K390" s="80"/>
    </x:row>
    <x:row r="391">
      <x:c r="H391" s="83"/>
      <x:c r="K391" s="80"/>
    </x:row>
    <x:row r="392">
      <x:c r="H392" s="83"/>
      <x:c r="K392" s="80"/>
    </x:row>
    <x:row r="393">
      <x:c r="H393" s="83"/>
      <x:c r="K393" s="80"/>
    </x:row>
    <x:row r="394">
      <x:c r="H394" s="83"/>
      <x:c r="K394" s="80"/>
    </x:row>
    <x:row r="395">
      <x:c r="H395" s="83"/>
      <x:c r="K395" s="80"/>
    </x:row>
    <x:row r="396">
      <x:c r="H396" s="83"/>
      <x:c r="K396" s="80"/>
    </x:row>
    <x:row r="397">
      <x:c r="H397" s="83"/>
      <x:c r="K397" s="80"/>
    </x:row>
    <x:row r="398">
      <x:c r="H398" s="83"/>
      <x:c r="K398" s="80"/>
    </x:row>
    <x:row r="399">
      <x:c r="H399" s="83"/>
      <x:c r="K399" s="80"/>
    </x:row>
    <x:row r="400">
      <x:c r="H400" s="83"/>
      <x:c r="K400" s="80"/>
    </x:row>
    <x:row r="401">
      <x:c r="H401" s="83"/>
      <x:c r="K401" s="80"/>
    </x:row>
    <x:row r="402">
      <x:c r="H402" s="83"/>
      <x:c r="K402" s="80"/>
    </x:row>
    <x:row r="403">
      <x:c r="H403" s="83"/>
      <x:c r="K403" s="80"/>
    </x:row>
    <x:row r="404">
      <x:c r="H404" s="83"/>
      <x:c r="K404" s="80"/>
    </x:row>
    <x:row r="405">
      <x:c r="H405" s="83"/>
      <x:c r="K405" s="80"/>
    </x:row>
    <x:row r="406">
      <x:c r="H406" s="83"/>
      <x:c r="K406" s="80"/>
    </x:row>
    <x:row r="407">
      <x:c r="H407" s="83"/>
      <x:c r="K407" s="80"/>
    </x:row>
    <x:row r="408">
      <x:c r="H408" s="83"/>
      <x:c r="K408" s="80"/>
    </x:row>
    <x:row r="409">
      <x:c r="H409" s="83"/>
      <x:c r="K409" s="80"/>
    </x:row>
    <x:row r="410">
      <x:c r="H410" s="83"/>
      <x:c r="K410" s="80"/>
    </x:row>
    <x:row r="411">
      <x:c r="H411" s="83"/>
      <x:c r="K411" s="80"/>
    </x:row>
    <x:row r="412">
      <x:c r="H412" s="83"/>
      <x:c r="K412" s="80"/>
    </x:row>
    <x:row r="413">
      <x:c r="H413" s="83"/>
      <x:c r="K413" s="80"/>
    </x:row>
    <x:row r="414">
      <x:c r="H414" s="83"/>
      <x:c r="K414" s="80"/>
    </x:row>
    <x:row r="415">
      <x:c r="H415" s="83"/>
      <x:c r="K415" s="80"/>
    </x:row>
    <x:row r="416">
      <x:c r="H416" s="83"/>
      <x:c r="K416" s="80"/>
    </x:row>
    <x:row r="417">
      <x:c r="H417" s="83"/>
      <x:c r="K417" s="80"/>
    </x:row>
    <x:row r="418">
      <x:c r="H418" s="83"/>
      <x:c r="K418" s="80"/>
    </x:row>
    <x:row r="419">
      <x:c r="H419" s="83"/>
      <x:c r="K419" s="80"/>
    </x:row>
    <x:row r="420">
      <x:c r="H420" s="83"/>
      <x:c r="K420" s="80"/>
    </x:row>
    <x:row r="421">
      <x:c r="H421" s="83"/>
      <x:c r="K421" s="80"/>
    </x:row>
    <x:row r="422">
      <x:c r="H422" s="83"/>
      <x:c r="K422" s="80"/>
    </x:row>
    <x:row r="423">
      <x:c r="H423" s="83"/>
      <x:c r="K423" s="80"/>
    </x:row>
    <x:row r="424">
      <x:c r="H424" s="83"/>
      <x:c r="K424" s="80"/>
    </x:row>
    <x:row r="425">
      <x:c r="H425" s="83"/>
      <x:c r="K425" s="80"/>
    </x:row>
    <x:row r="426">
      <x:c r="H426" s="83"/>
      <x:c r="K426" s="80"/>
    </x:row>
    <x:row r="427">
      <x:c r="H427" s="83"/>
      <x:c r="K427" s="80"/>
    </x:row>
    <x:row r="428">
      <x:c r="H428" s="83"/>
      <x:c r="K428" s="80"/>
    </x:row>
    <x:row r="429">
      <x:c r="H429" s="83"/>
      <x:c r="K429" s="80"/>
    </x:row>
    <x:row r="430">
      <x:c r="H430" s="83"/>
      <x:c r="K430" s="80"/>
    </x:row>
    <x:row r="431">
      <x:c r="H431" s="83"/>
      <x:c r="K431" s="80"/>
    </x:row>
    <x:row r="432">
      <x:c r="H432" s="83"/>
      <x:c r="K432" s="80"/>
    </x:row>
    <x:row r="433">
      <x:c r="H433" s="83"/>
      <x:c r="K433" s="80"/>
    </x:row>
    <x:row r="434">
      <x:c r="H434" s="83"/>
      <x:c r="K434" s="80"/>
    </x:row>
    <x:row r="435">
      <x:c r="H435" s="83"/>
      <x:c r="K435" s="80"/>
    </x:row>
    <x:row r="436">
      <x:c r="H436" s="83"/>
      <x:c r="K436" s="80"/>
    </x:row>
    <x:row r="437">
      <x:c r="H437" s="83"/>
      <x:c r="K437" s="80"/>
    </x:row>
    <x:row r="438">
      <x:c r="H438" s="83"/>
      <x:c r="K438" s="80"/>
    </x:row>
    <x:row r="439">
      <x:c r="H439" s="83"/>
      <x:c r="K439" s="80"/>
    </x:row>
    <x:row r="440">
      <x:c r="H440" s="83"/>
      <x:c r="K440" s="80"/>
    </x:row>
    <x:row r="441">
      <x:c r="H441" s="83"/>
      <x:c r="K441" s="80"/>
    </x:row>
    <x:row r="442">
      <x:c r="H442" s="83"/>
      <x:c r="K442" s="80"/>
    </x:row>
    <x:row r="443">
      <x:c r="H443" s="83"/>
      <x:c r="K443" s="80"/>
    </x:row>
    <x:row r="444">
      <x:c r="H444" s="83"/>
      <x:c r="K444" s="80"/>
    </x:row>
    <x:row r="445">
      <x:c r="H445" s="83"/>
      <x:c r="K445" s="80"/>
    </x:row>
    <x:row r="446">
      <x:c r="H446" s="83"/>
      <x:c r="K446" s="80"/>
    </x:row>
    <x:row r="447">
      <x:c r="H447" s="83"/>
      <x:c r="K447" s="80"/>
    </x:row>
    <x:row r="448">
      <x:c r="H448" s="83"/>
      <x:c r="K448" s="80"/>
    </x:row>
    <x:row r="449">
      <x:c r="H449" s="83"/>
      <x:c r="K449" s="80"/>
    </x:row>
    <x:row r="450">
      <x:c r="H450" s="83"/>
      <x:c r="K450" s="80"/>
    </x:row>
    <x:row r="451">
      <x:c r="H451" s="83"/>
      <x:c r="K451" s="80"/>
    </x:row>
    <x:row r="452">
      <x:c r="H452" s="83"/>
      <x:c r="K452" s="80"/>
    </x:row>
    <x:row r="453">
      <x:c r="H453" s="83"/>
      <x:c r="K453" s="80"/>
    </x:row>
    <x:row r="454">
      <x:c r="H454" s="83"/>
      <x:c r="K454" s="80"/>
    </x:row>
    <x:row r="455">
      <x:c r="H455" s="83"/>
      <x:c r="K455" s="80"/>
    </x:row>
    <x:row r="456">
      <x:c r="H456" s="83"/>
      <x:c r="K456" s="80"/>
    </x:row>
    <x:row r="457">
      <x:c r="H457" s="83"/>
      <x:c r="K457" s="80"/>
    </x:row>
    <x:row r="458">
      <x:c r="H458" s="83"/>
      <x:c r="K458" s="80"/>
    </x:row>
    <x:row r="459">
      <x:c r="H459" s="83"/>
      <x:c r="K459" s="80"/>
    </x:row>
    <x:row r="460">
      <x:c r="H460" s="83"/>
      <x:c r="K460" s="80"/>
    </x:row>
    <x:row r="461">
      <x:c r="H461" s="83"/>
      <x:c r="K461" s="80"/>
    </x:row>
    <x:row r="462">
      <x:c r="H462" s="83"/>
      <x:c r="K462" s="80"/>
    </x:row>
    <x:row r="463">
      <x:c r="H463" s="83"/>
      <x:c r="K463" s="80"/>
    </x:row>
    <x:row r="464">
      <x:c r="H464" s="83"/>
      <x:c r="K464" s="80"/>
    </x:row>
    <x:row r="465">
      <x:c r="H465" s="83"/>
      <x:c r="K465" s="80"/>
    </x:row>
    <x:row r="466">
      <x:c r="H466" s="83"/>
      <x:c r="K466" s="80"/>
    </x:row>
    <x:row r="467">
      <x:c r="H467" s="83"/>
      <x:c r="K467" s="80"/>
    </x:row>
    <x:row r="468">
      <x:c r="H468" s="83"/>
      <x:c r="K468" s="80"/>
    </x:row>
    <x:row r="469">
      <x:c r="H469" s="83"/>
      <x:c r="K469" s="80"/>
    </x:row>
    <x:row r="470">
      <x:c r="H470" s="83"/>
      <x:c r="K470" s="80"/>
    </x:row>
    <x:row r="471">
      <x:c r="H471" s="83"/>
      <x:c r="K471" s="80"/>
    </x:row>
    <x:row r="472">
      <x:c r="H472" s="83"/>
      <x:c r="K472" s="80"/>
    </x:row>
    <x:row r="473">
      <x:c r="H473" s="83"/>
      <x:c r="K473" s="80"/>
    </x:row>
    <x:row r="474">
      <x:c r="H474" s="83"/>
      <x:c r="K474" s="80"/>
    </x:row>
    <x:row r="475">
      <x:c r="H475" s="83"/>
      <x:c r="K475" s="80"/>
    </x:row>
    <x:row r="476">
      <x:c r="H476" s="83"/>
      <x:c r="K476" s="80"/>
    </x:row>
    <x:row r="477">
      <x:c r="H477" s="83"/>
      <x:c r="K477" s="80"/>
    </x:row>
    <x:row r="478">
      <x:c r="H478" s="83"/>
      <x:c r="K478" s="80"/>
    </x:row>
    <x:row r="479">
      <x:c r="H479" s="83"/>
      <x:c r="K479" s="80"/>
    </x:row>
    <x:row r="480">
      <x:c r="H480" s="83"/>
      <x:c r="K480" s="80"/>
    </x:row>
    <x:row r="481">
      <x:c r="H481" s="83"/>
      <x:c r="K481" s="80"/>
    </x:row>
    <x:row r="482">
      <x:c r="H482" s="83"/>
      <x:c r="K482" s="80"/>
    </x:row>
    <x:row r="483">
      <x:c r="H483" s="83"/>
      <x:c r="K483" s="80"/>
    </x:row>
    <x:row r="484">
      <x:c r="H484" s="83"/>
      <x:c r="K484" s="80"/>
    </x:row>
    <x:row r="485">
      <x:c r="H485" s="83"/>
      <x:c r="K485" s="80"/>
    </x:row>
    <x:row r="486">
      <x:c r="H486" s="83"/>
      <x:c r="K486" s="80"/>
    </x:row>
    <x:row r="487">
      <x:c r="H487" s="83"/>
      <x:c r="K487" s="80"/>
    </x:row>
    <x:row r="488">
      <x:c r="H488" s="83"/>
      <x:c r="K488" s="80"/>
    </x:row>
    <x:row r="489">
      <x:c r="H489" s="83"/>
      <x:c r="K489" s="80"/>
    </x:row>
    <x:row r="490">
      <x:c r="H490" s="83"/>
      <x:c r="K490" s="80"/>
    </x:row>
    <x:row r="491">
      <x:c r="H491" s="83"/>
      <x:c r="K491" s="80"/>
    </x:row>
    <x:row r="492">
      <x:c r="H492" s="83"/>
      <x:c r="K492" s="80"/>
    </x:row>
    <x:row r="493">
      <x:c r="H493" s="83"/>
      <x:c r="K493" s="80"/>
    </x:row>
    <x:row r="494">
      <x:c r="H494" s="83"/>
      <x:c r="K494" s="80"/>
    </x:row>
    <x:row r="495">
      <x:c r="H495" s="83"/>
      <x:c r="K495" s="80"/>
    </x:row>
    <x:row r="496">
      <x:c r="H496" s="83"/>
      <x:c r="K496" s="80"/>
    </x:row>
    <x:row r="497">
      <x:c r="H497" s="83"/>
      <x:c r="K497" s="80"/>
    </x:row>
    <x:row r="498">
      <x:c r="H498" s="83"/>
      <x:c r="K498" s="80"/>
    </x:row>
    <x:row r="499">
      <x:c r="H499" s="83"/>
      <x:c r="K499" s="80"/>
    </x:row>
    <x:row r="500">
      <x:c r="H500" s="83"/>
      <x:c r="K500" s="80"/>
    </x:row>
  </x:sheetData>
  <x:mergeCells>
    <x:mergeCell ref="A1:L1"/>
    <x:mergeCell ref="A2:L2"/>
  </x:mergeCells>
  <x:dataValidations count="1">
    <x:dataValidation type="list" sqref="I5:I500">
      <x:formula1>"Open,In Review,Resolved,Not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e6a7aca4a3468c"/>
  </x:tableParts>
</x:worksheet>
</file>